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S Teachers" sheetId="1" r:id="rId4"/>
    <sheet state="hidden" name="Sheet 1 - Madison High Teacher " sheetId="2" r:id="rId5"/>
  </sheets>
  <definedNames/>
  <calcPr/>
  <extLst>
    <ext uri="GoogleSheetsCustomDataVersion1">
      <go:sheetsCustomData xmlns:go="http://customooxmlschemas.google.com/" r:id="rId6" roundtripDataSignature="AMtx7mj3cJQpnFjnRCfcIUB9+lQKJDHuSw=="/>
    </ext>
  </extLst>
</workbook>
</file>

<file path=xl/sharedStrings.xml><?xml version="1.0" encoding="utf-8"?>
<sst xmlns="http://schemas.openxmlformats.org/spreadsheetml/2006/main" count="488" uniqueCount="358">
  <si>
    <t>Teacher Name</t>
  </si>
  <si>
    <t>Title</t>
  </si>
  <si>
    <t>Extension</t>
  </si>
  <si>
    <t>Email</t>
  </si>
  <si>
    <t>PE Teacher</t>
  </si>
  <si>
    <r>
      <rPr>
        <rFont val="Calibri"/>
        <color rgb="FF0563C1"/>
        <sz val="11.0"/>
        <u/>
      </rPr>
      <t>pabrahamson@sandi.net</t>
    </r>
  </si>
  <si>
    <t>After School Program</t>
  </si>
  <si>
    <r>
      <rPr>
        <rFont val="Calibri"/>
        <color rgb="FF0563C1"/>
        <sz val="11.0"/>
        <u/>
      </rPr>
      <t>gwilliams3@sandi.net</t>
    </r>
  </si>
  <si>
    <r>
      <rPr>
        <rFont val="Calibri"/>
        <color rgb="FF0563C1"/>
        <sz val="11.0"/>
        <u/>
      </rPr>
      <t>Athletic Director</t>
    </r>
  </si>
  <si>
    <r>
      <rPr>
        <rFont val="Calibri"/>
        <color rgb="FF0563C1"/>
        <sz val="11.0"/>
        <u/>
      </rPr>
      <t>rjackson2@sandi.net</t>
    </r>
  </si>
  <si>
    <r>
      <rPr>
        <rFont val="Calibri"/>
        <color rgb="FF0563C1"/>
        <sz val="11.0"/>
        <u/>
      </rPr>
      <t>Attendance Office</t>
    </r>
  </si>
  <si>
    <t>3020
3021</t>
  </si>
  <si>
    <r>
      <rPr>
        <rFont val="Calibri"/>
        <color rgb="FF0563C1"/>
        <sz val="11.0"/>
        <u/>
      </rPr>
      <t>icastro3@sandi.net</t>
    </r>
  </si>
  <si>
    <r>
      <rPr>
        <rFont val="Calibri"/>
        <sz val="11.0"/>
        <u/>
      </rPr>
      <t>Balzer, Kelly</t>
    </r>
  </si>
  <si>
    <t>Head Counselor 
I-Me &amp; Mesa Students</t>
  </si>
  <si>
    <r>
      <rPr>
        <rFont val="Calibri"/>
        <color rgb="FF0563C1"/>
        <sz val="11.0"/>
        <u/>
      </rPr>
      <t>kbalzer@sandi.net</t>
    </r>
  </si>
  <si>
    <t>English Teacher</t>
  </si>
  <si>
    <r>
      <rPr>
        <rFont val="Calibri"/>
        <color rgb="FF0563C1"/>
        <sz val="11.0"/>
        <u/>
      </rPr>
      <t>jbarker@sandi.net</t>
    </r>
  </si>
  <si>
    <t>SAI Teacher</t>
  </si>
  <si>
    <r>
      <rPr>
        <rFont val="Calibri"/>
        <color rgb="FF0563C1"/>
        <sz val="11.0"/>
        <u/>
      </rPr>
      <t>mbarrett@sandi.net</t>
    </r>
  </si>
  <si>
    <t>Science Teacher</t>
  </si>
  <si>
    <r>
      <rPr>
        <rFont val="Calibri"/>
        <color rgb="FF0563C1"/>
        <sz val="11.0"/>
        <u/>
      </rPr>
      <t>wbishop@sandi.net</t>
    </r>
  </si>
  <si>
    <t>Bobis, Clare</t>
  </si>
  <si>
    <t>Voc Rehab Counselor</t>
  </si>
  <si>
    <r>
      <rPr>
        <rFont val="Calibri"/>
        <color rgb="FF0563C1"/>
        <sz val="11.0"/>
        <u/>
      </rPr>
      <t>cbobis@sandi.net</t>
    </r>
  </si>
  <si>
    <t>Bonslater, Sandra</t>
  </si>
  <si>
    <t>Library Tech</t>
  </si>
  <si>
    <r>
      <rPr>
        <rFont val="Calibri"/>
        <color rgb="FF0563C1"/>
        <sz val="11.0"/>
        <u/>
      </rPr>
      <t>sbonslater@sandi.net</t>
    </r>
  </si>
  <si>
    <t>DHH Teacher</t>
  </si>
  <si>
    <t>619-202-4804 (Video)</t>
  </si>
  <si>
    <r>
      <rPr>
        <rFont val="Calibri"/>
        <color rgb="FF0563C1"/>
        <sz val="11.0"/>
        <u/>
      </rPr>
      <t>jbrooks@sandi.net</t>
    </r>
  </si>
  <si>
    <t>Caan, Melina</t>
  </si>
  <si>
    <t>DHH Counselor</t>
  </si>
  <si>
    <r>
      <rPr>
        <rFont val="Calibri"/>
        <color rgb="FF0563C1"/>
        <sz val="11.0"/>
        <u/>
      </rPr>
      <t>mcann@sandi.net</t>
    </r>
  </si>
  <si>
    <t>SAI-Mild/Moderate</t>
  </si>
  <si>
    <r>
      <rPr>
        <rFont val="Calibri"/>
        <color rgb="FF0563C1"/>
        <sz val="11.0"/>
        <u/>
      </rPr>
      <t>mcampisano@sandi.net</t>
    </r>
  </si>
  <si>
    <t>Canizalez, Yesenia</t>
  </si>
  <si>
    <t>Admin. Assistant (Counseling)</t>
  </si>
  <si>
    <r>
      <rPr>
        <rFont val="Calibri"/>
        <color rgb="FF0563C1"/>
        <sz val="11.0"/>
        <u/>
      </rPr>
      <t>ycanizalez@sandi.net</t>
    </r>
  </si>
  <si>
    <r>
      <rPr>
        <rFont val="Calibri"/>
        <sz val="11.0"/>
        <u/>
      </rPr>
      <t>Castro, Ivan </t>
    </r>
  </si>
  <si>
    <t>Attendance Office</t>
  </si>
  <si>
    <r>
      <rPr>
        <rFont val="Calibri"/>
        <color rgb="FF0563C1"/>
        <sz val="11.0"/>
        <u/>
      </rPr>
      <t>icastro3@sandi.net</t>
    </r>
  </si>
  <si>
    <t>Spanish Teacher</t>
  </si>
  <si>
    <r>
      <rPr>
        <rFont val="Calibri"/>
        <color rgb="FF0563C1"/>
        <sz val="11.0"/>
        <u/>
      </rPr>
      <t>wchase@sandi.net</t>
    </r>
  </si>
  <si>
    <t>History/AP Psych. Teacher</t>
  </si>
  <si>
    <r>
      <rPr>
        <rFont val="Calibri"/>
        <color rgb="FF0563C1"/>
        <sz val="11.0"/>
        <u/>
      </rPr>
      <t>nchen@sandi.net</t>
    </r>
  </si>
  <si>
    <t>Math Teacher</t>
  </si>
  <si>
    <r>
      <rPr>
        <rFont val="Calibri"/>
        <color rgb="FF0563C1"/>
        <sz val="11.0"/>
        <u/>
      </rPr>
      <t>cchizmar@sandi.net</t>
    </r>
  </si>
  <si>
    <r>
      <rPr>
        <rFont val="Calibri"/>
        <color rgb="FF0563C1"/>
        <sz val="11.0"/>
        <u/>
      </rPr>
      <t>wcunningham@sandi.net</t>
    </r>
  </si>
  <si>
    <r>
      <rPr>
        <rFont val="Calibri"/>
        <sz val="11.0"/>
        <u/>
      </rPr>
      <t>Dartland, Michele</t>
    </r>
  </si>
  <si>
    <t>Speech Pathologist</t>
  </si>
  <si>
    <r>
      <rPr>
        <rFont val="Calibri"/>
        <color rgb="FF0563C1"/>
        <sz val="11.0"/>
        <u/>
      </rPr>
      <t>mdartland@sandi.net</t>
    </r>
  </si>
  <si>
    <r>
      <rPr>
        <rFont val="Calibri"/>
        <color rgb="FF0563C1"/>
        <sz val="11.0"/>
        <u/>
      </rPr>
      <t>tduncan@sandi.net</t>
    </r>
  </si>
  <si>
    <r>
      <rPr>
        <rFont val="Calibri"/>
        <sz val="11.0"/>
        <u/>
      </rPr>
      <t>Evans, Mike </t>
    </r>
  </si>
  <si>
    <t>Senior Crew Leader</t>
  </si>
  <si>
    <r>
      <rPr>
        <rFont val="Calibri"/>
        <color rgb="FF0563C1"/>
        <sz val="11.0"/>
        <u/>
      </rPr>
      <t>mevans@sandi.net</t>
    </r>
  </si>
  <si>
    <r>
      <rPr>
        <rFont val="Calibri"/>
        <color rgb="FF0563C1"/>
        <sz val="11.0"/>
        <u/>
      </rPr>
      <t>mfalvo@sandi.net</t>
    </r>
  </si>
  <si>
    <t>Firks, Joel</t>
  </si>
  <si>
    <t>DHH Interpreting Supervisor</t>
  </si>
  <si>
    <r>
      <rPr>
        <rFont val="Calibri"/>
        <color rgb="FF0563C1"/>
        <sz val="11.0"/>
        <u/>
      </rPr>
      <t>jfirks@sandi.net</t>
    </r>
  </si>
  <si>
    <r>
      <rPr>
        <rFont val="Calibri"/>
        <sz val="11.0"/>
        <u/>
      </rPr>
      <t>Francescotti, Michelle</t>
    </r>
  </si>
  <si>
    <t>Counselor (Mi-Z)</t>
  </si>
  <si>
    <r>
      <rPr>
        <rFont val="Calibri"/>
        <color rgb="FF0563C1"/>
        <sz val="11.0"/>
        <u/>
      </rPr>
      <t>mfrancescotti@sandi.net</t>
    </r>
  </si>
  <si>
    <t>English/AVID Teacher</t>
  </si>
  <si>
    <r>
      <rPr>
        <rFont val="Calibri"/>
        <color rgb="FF0563C1"/>
        <sz val="11.0"/>
        <u/>
      </rPr>
      <t>lreeves@sandi.net</t>
    </r>
  </si>
  <si>
    <r>
      <rPr>
        <rFont val="Calibri"/>
        <sz val="11.0"/>
        <u/>
      </rPr>
      <t>Gil, Irene</t>
    </r>
  </si>
  <si>
    <t>Registrar</t>
  </si>
  <si>
    <r>
      <rPr>
        <rFont val="Calibri"/>
        <color rgb="FF0563C1"/>
        <sz val="11.0"/>
        <u/>
      </rPr>
      <t>igil@sandi.net</t>
    </r>
  </si>
  <si>
    <r>
      <rPr>
        <rFont val="Calibri"/>
        <sz val="11.0"/>
        <u/>
      </rPr>
      <t>Gonzalez, Melitza</t>
    </r>
  </si>
  <si>
    <t>Special Ed.Technician</t>
  </si>
  <si>
    <r>
      <rPr>
        <rFont val="Calibri"/>
        <color rgb="FF0563C1"/>
        <sz val="11.0"/>
        <u/>
      </rPr>
      <t>mgonzalez@sandi.net</t>
    </r>
  </si>
  <si>
    <r>
      <rPr>
        <rFont val="Calibri"/>
        <color rgb="FF0563C1"/>
        <sz val="11.0"/>
        <u/>
      </rPr>
      <t>mgross@sandi.net</t>
    </r>
  </si>
  <si>
    <r>
      <rPr>
        <rFont val="Calibri"/>
        <sz val="11.0"/>
        <u/>
      </rPr>
      <t>Guerra, Elizabeth</t>
    </r>
  </si>
  <si>
    <t>Counselor (A-H)</t>
  </si>
  <si>
    <r>
      <rPr>
        <rFont val="Calibri"/>
        <color rgb="FF0563C1"/>
        <sz val="11.0"/>
        <u/>
      </rPr>
      <t>eguerra@sandi.net</t>
    </r>
  </si>
  <si>
    <r>
      <rPr>
        <rFont val="Calibri"/>
        <sz val="11.0"/>
        <u/>
      </rPr>
      <t>Haley, Jennifer</t>
    </r>
  </si>
  <si>
    <t>Nurse</t>
  </si>
  <si>
    <r>
      <rPr>
        <rFont val="Calibri"/>
        <color rgb="FF0563C1"/>
        <sz val="11.0"/>
        <u/>
      </rPr>
      <t>jhaley@sandi.net</t>
    </r>
  </si>
  <si>
    <r>
      <rPr>
        <rFont val="Calibri"/>
        <color rgb="FF0563C1"/>
        <sz val="11.0"/>
        <u/>
      </rPr>
      <t>mhead@sandi.net</t>
    </r>
  </si>
  <si>
    <t>Social Studies Teacher</t>
  </si>
  <si>
    <r>
      <rPr>
        <rFont val="Calibri"/>
        <color rgb="FF0563C1"/>
        <sz val="11.0"/>
        <u/>
      </rPr>
      <t>lhedley@sandi.net</t>
    </r>
  </si>
  <si>
    <t>SAI Co-Teacher</t>
  </si>
  <si>
    <r>
      <rPr>
        <rFont val="Calibri"/>
        <color rgb="FF0563C1"/>
        <sz val="11.0"/>
        <u/>
      </rPr>
      <t>mhirsch@sandi.net</t>
    </r>
  </si>
  <si>
    <t>Science Teacher/Athletic Dir.</t>
  </si>
  <si>
    <r>
      <rPr>
        <rFont val="Calibri"/>
        <color rgb="FF0563C1"/>
        <sz val="11.0"/>
        <u/>
      </rPr>
      <t>rjackson2@sandi.net</t>
    </r>
  </si>
  <si>
    <t>Johnson, Tyler</t>
  </si>
  <si>
    <t>Band Teacher</t>
  </si>
  <si>
    <t>tjohnson8@sandi.net</t>
  </si>
  <si>
    <t>JROTC Office</t>
  </si>
  <si>
    <r>
      <rPr>
        <rFont val="Calibri"/>
        <color rgb="FF0563C1"/>
        <sz val="11.0"/>
        <u/>
      </rPr>
      <t>klochner@sandi.net</t>
    </r>
  </si>
  <si>
    <r>
      <rPr>
        <rFont val="Calibri"/>
        <color rgb="FF0563C1"/>
        <sz val="11.0"/>
        <u/>
      </rPr>
      <t>ckiyama@sandi.net</t>
    </r>
  </si>
  <si>
    <t>Knack, Danielle</t>
  </si>
  <si>
    <t>Mental Health Resources</t>
  </si>
  <si>
    <r>
      <rPr>
        <rFont val="Calibri"/>
        <color rgb="FF0563C1"/>
        <sz val="11.0"/>
        <u/>
      </rPr>
      <t>dknack@sandi.ent</t>
    </r>
  </si>
  <si>
    <r>
      <rPr>
        <rFont val="Calibri"/>
        <sz val="11.0"/>
        <u/>
      </rPr>
      <t>Konow-Brownell, Cynthia</t>
    </r>
  </si>
  <si>
    <t>DHH Comm. Skills/Aud.</t>
  </si>
  <si>
    <r>
      <rPr>
        <rFont val="Calibri"/>
        <color rgb="FF0563C1"/>
        <sz val="11.0"/>
        <u/>
      </rPr>
      <t>cbrownell@sandi.net</t>
    </r>
  </si>
  <si>
    <t>Lanigan, Josh</t>
  </si>
  <si>
    <t>Plant Operations Supervisor</t>
  </si>
  <si>
    <r>
      <rPr>
        <rFont val="Calibri"/>
        <color rgb="FF0563C1"/>
        <sz val="11.0"/>
        <u/>
      </rPr>
      <t>jlanigan@sandi.net</t>
    </r>
  </si>
  <si>
    <r>
      <rPr>
        <rFont val="Calibri"/>
        <sz val="11.0"/>
        <u/>
      </rPr>
      <t>Lehman, Lauren</t>
    </r>
  </si>
  <si>
    <t>School Psychologist</t>
  </si>
  <si>
    <r>
      <rPr>
        <rFont val="Calibri"/>
        <color rgb="FF0563C1"/>
        <sz val="11.0"/>
        <u/>
      </rPr>
      <t>llehman@sandi.net</t>
    </r>
  </si>
  <si>
    <t>JROTC Commander</t>
  </si>
  <si>
    <r>
      <rPr>
        <rFont val="Calibri"/>
        <color rgb="FF0563C1"/>
        <sz val="11.0"/>
        <u/>
      </rPr>
      <t>klochner@sandi.net</t>
    </r>
  </si>
  <si>
    <r>
      <rPr>
        <rFont val="Calibri"/>
        <sz val="11.0"/>
        <u/>
      </rPr>
      <t>Lopez, Andrea </t>
    </r>
  </si>
  <si>
    <t>Admin. Assistant</t>
  </si>
  <si>
    <r>
      <rPr>
        <rFont val="Calibri"/>
        <color rgb="FF0563C1"/>
        <sz val="11.0"/>
        <u/>
      </rPr>
      <t>alopez3@sandi.net</t>
    </r>
  </si>
  <si>
    <r>
      <rPr>
        <rFont val="Calibri"/>
        <color rgb="FF0563C1"/>
        <sz val="11.0"/>
        <u/>
      </rPr>
      <t>rlovato@sandi.net</t>
    </r>
  </si>
  <si>
    <t>Video/Broadcast Teacher</t>
  </si>
  <si>
    <r>
      <rPr>
        <rFont val="Calibri"/>
        <color rgb="FF0563C1"/>
        <sz val="11.0"/>
        <u/>
      </rPr>
      <t>lloyce@sandi.net</t>
    </r>
  </si>
  <si>
    <r>
      <rPr>
        <rFont val="Calibri"/>
        <color rgb="FF0563C1"/>
        <sz val="11.0"/>
        <u/>
      </rPr>
      <t>rlynch1@sandi.net</t>
    </r>
  </si>
  <si>
    <r>
      <rPr>
        <rFont val="Calibri"/>
        <sz val="11.0"/>
        <u/>
      </rPr>
      <t>Martinez, Betty</t>
    </r>
  </si>
  <si>
    <t>ESL Assistant</t>
  </si>
  <si>
    <r>
      <rPr>
        <rFont val="Calibri"/>
        <color rgb="FF0563C1"/>
        <sz val="11.0"/>
        <u/>
      </rPr>
      <t>bmartinez@sandi.net</t>
    </r>
  </si>
  <si>
    <r>
      <rPr>
        <rFont val="Calibri"/>
        <sz val="11.0"/>
        <u/>
      </rPr>
      <t>Maxwell, Teri </t>
    </r>
  </si>
  <si>
    <t>Adaptive P.E.</t>
  </si>
  <si>
    <t>627-7270 x3246</t>
  </si>
  <si>
    <r>
      <rPr>
        <rFont val="Calibri"/>
        <color rgb="FF0563C1"/>
        <sz val="11.0"/>
        <u/>
      </rPr>
      <t>tmaxwell@sandi.net</t>
    </r>
  </si>
  <si>
    <r>
      <rPr>
        <rFont val="Calibri"/>
        <color rgb="FF0563C1"/>
        <sz val="11.0"/>
        <u/>
      </rPr>
      <t>kmcdonnell@sandi.net</t>
    </r>
  </si>
  <si>
    <r>
      <rPr>
        <rFont val="Calibri"/>
        <color rgb="FF0563C1"/>
        <sz val="11.0"/>
        <u/>
      </rPr>
      <t>npeterson@sandi.net</t>
    </r>
  </si>
  <si>
    <r>
      <rPr>
        <rFont val="Calibri"/>
        <color rgb="FF0563C1"/>
        <sz val="11.0"/>
        <u/>
      </rPr>
      <t>cmikamo@sandi.net</t>
    </r>
  </si>
  <si>
    <r>
      <rPr>
        <rFont val="Calibri"/>
        <color rgb="FF0563C1"/>
        <sz val="11.0"/>
        <u/>
      </rPr>
      <t>mnegrete@sandi.net</t>
    </r>
  </si>
  <si>
    <t>JROTC Instructor</t>
  </si>
  <si>
    <r>
      <rPr>
        <rFont val="Calibri"/>
        <color rgb="FF0563C1"/>
        <sz val="11.0"/>
        <u/>
      </rPr>
      <t>coneal@sandi.net</t>
    </r>
  </si>
  <si>
    <t>Drama Teacher</t>
  </si>
  <si>
    <r>
      <rPr>
        <rFont val="Calibri"/>
        <color rgb="FF0563C1"/>
        <sz val="11.0"/>
        <u/>
      </rPr>
      <t>goberle@sandi.net</t>
    </r>
  </si>
  <si>
    <r>
      <rPr>
        <rFont val="Calibri"/>
        <sz val="11.0"/>
        <u/>
      </rPr>
      <t>Peters, Robin </t>
    </r>
  </si>
  <si>
    <t>Vice Principal</t>
  </si>
  <si>
    <r>
      <rPr>
        <rFont val="Calibri"/>
        <color rgb="FF0563C1"/>
        <sz val="11.0"/>
        <u/>
      </rPr>
      <t>rpeters@sandi.net</t>
    </r>
  </si>
  <si>
    <r>
      <rPr>
        <rFont val="Calibri"/>
        <sz val="11.0"/>
        <u/>
      </rPr>
      <t>Police Officer (School)</t>
    </r>
  </si>
  <si>
    <t>Officer Franchina</t>
  </si>
  <si>
    <r>
      <rPr>
        <rFont val="Calibri"/>
        <color rgb="FF0563C1"/>
        <sz val="11.0"/>
        <u/>
      </rPr>
      <t>pfranchina@sandi.net</t>
    </r>
  </si>
  <si>
    <r>
      <rPr>
        <rFont val="Calibri"/>
        <color rgb="FF0563C1"/>
        <sz val="11.0"/>
        <u/>
      </rPr>
      <t>pquiroz@sandi.net</t>
    </r>
  </si>
  <si>
    <t>Use Email</t>
  </si>
  <si>
    <r>
      <rPr>
        <rFont val="Calibri"/>
        <color rgb="FF0563C1"/>
        <sz val="11.0"/>
        <u/>
      </rPr>
      <t>wrabinowitz@sandi.net</t>
    </r>
  </si>
  <si>
    <t>Richards, Heather</t>
  </si>
  <si>
    <t>hrichards@sandi.net</t>
  </si>
  <si>
    <r>
      <rPr>
        <rFont val="Calibri"/>
        <color rgb="FF0563C1"/>
        <sz val="11.0"/>
        <u/>
      </rPr>
      <t>mrogers2@sandi.net</t>
    </r>
  </si>
  <si>
    <r>
      <rPr>
        <rFont val="Calibri"/>
        <color rgb="FF0563C1"/>
        <sz val="11.0"/>
        <u/>
      </rPr>
      <t>crucobo@sandi.net</t>
    </r>
  </si>
  <si>
    <r>
      <rPr>
        <rFont val="Calibri"/>
        <sz val="11.0"/>
        <u/>
      </rPr>
      <t>Safa, Khatereh </t>
    </r>
  </si>
  <si>
    <t>Finance Office</t>
  </si>
  <si>
    <r>
      <rPr>
        <rFont val="Calibri"/>
        <color rgb="FF0563C1"/>
        <sz val="11.0"/>
        <u/>
      </rPr>
      <t>ksafa@sandi.net</t>
    </r>
  </si>
  <si>
    <r>
      <rPr>
        <rFont val="Calibri"/>
        <sz val="11.0"/>
        <u/>
      </rPr>
      <t>Salamanca, Mike</t>
    </r>
  </si>
  <si>
    <r>
      <rPr>
        <rFont val="Calibri"/>
        <color rgb="FF0563C1"/>
        <sz val="11.0"/>
        <u/>
      </rPr>
      <t>msalamanca@sandi.net</t>
    </r>
  </si>
  <si>
    <r>
      <rPr>
        <rFont val="Calibri"/>
        <color rgb="FF0563C1"/>
        <sz val="11.0"/>
        <u/>
      </rPr>
      <t>nschulz@sandi.net</t>
    </r>
  </si>
  <si>
    <r>
      <rPr>
        <rFont val="Calibri"/>
        <sz val="11.0"/>
        <u/>
      </rPr>
      <t>Seaton, Heather</t>
    </r>
  </si>
  <si>
    <t>Principal</t>
  </si>
  <si>
    <r>
      <rPr>
        <rFont val="Calibri"/>
        <color rgb="FF0563C1"/>
        <sz val="11.0"/>
        <u/>
      </rPr>
      <t>hseaton@sandi.net</t>
    </r>
  </si>
  <si>
    <t>Automotive Teacher</t>
  </si>
  <si>
    <r>
      <rPr>
        <rFont val="Calibri"/>
        <color rgb="FF0563C1"/>
        <sz val="11.0"/>
        <u/>
      </rPr>
      <t>osevillajr@sandi.net</t>
    </r>
  </si>
  <si>
    <r>
      <rPr>
        <rFont val="Calibri"/>
        <color rgb="FF0563C1"/>
        <sz val="11.0"/>
        <u/>
      </rPr>
      <t>asilvels@sandi.net</t>
    </r>
  </si>
  <si>
    <t>English Teacher/ASB</t>
  </si>
  <si>
    <r>
      <rPr>
        <rFont val="Calibri"/>
        <color rgb="FF0563C1"/>
        <sz val="11.0"/>
        <u/>
      </rPr>
      <t>bsiracusa@sandi.net</t>
    </r>
  </si>
  <si>
    <t>ASL Teacher</t>
  </si>
  <si>
    <r>
      <rPr>
        <rFont val="Calibri"/>
        <color rgb="FF0563C1"/>
        <sz val="11.0"/>
        <u/>
      </rPr>
      <t>asmith@sandi.net</t>
    </r>
  </si>
  <si>
    <r>
      <rPr>
        <rFont val="Calibri"/>
        <sz val="11.0"/>
        <u/>
      </rPr>
      <t>Smith, Evelyn</t>
    </r>
  </si>
  <si>
    <t>Audiologist</t>
  </si>
  <si>
    <r>
      <rPr>
        <rFont val="Calibri"/>
        <color rgb="FF0563C1"/>
        <sz val="11.0"/>
        <u/>
      </rPr>
      <t>esmith@sandi.net</t>
    </r>
  </si>
  <si>
    <r>
      <rPr>
        <rFont val="Calibri"/>
        <color rgb="FF0563C1"/>
        <sz val="11.0"/>
        <u/>
      </rPr>
      <t>tsneddon@sandi.net</t>
    </r>
  </si>
  <si>
    <r>
      <rPr>
        <rFont val="Calibri"/>
        <sz val="11.0"/>
        <u/>
      </rPr>
      <t>Sokil, Greg</t>
    </r>
  </si>
  <si>
    <t>Site Technician</t>
  </si>
  <si>
    <r>
      <rPr>
        <rFont val="Calibri"/>
        <color rgb="FF0563C1"/>
        <sz val="11.0"/>
        <u/>
      </rPr>
      <t>gsokil@sandi.net</t>
    </r>
  </si>
  <si>
    <r>
      <rPr>
        <rFont val="Calibri"/>
        <color rgb="FF0563C1"/>
        <sz val="11.0"/>
        <u/>
      </rPr>
      <t>tstaninger@sandi.net</t>
    </r>
  </si>
  <si>
    <r>
      <rPr>
        <rFont val="Calibri"/>
        <color rgb="FF0563C1"/>
        <sz val="11.0"/>
        <u/>
      </rPr>
      <t>bstout@sandi.net</t>
    </r>
  </si>
  <si>
    <t>Art Teacher</t>
  </si>
  <si>
    <r>
      <rPr>
        <rFont val="Calibri"/>
        <color rgb="FF0563C1"/>
        <sz val="11.0"/>
        <u/>
      </rPr>
      <t>jstrukel@sandi.net</t>
    </r>
  </si>
  <si>
    <r>
      <rPr>
        <rFont val="Calibri"/>
        <color rgb="FF0563C1"/>
        <sz val="11.0"/>
        <u/>
      </rPr>
      <t>mstutz@sandi.net</t>
    </r>
  </si>
  <si>
    <t>Tipton, Vicenta</t>
  </si>
  <si>
    <t>School Clerk II/Attendance</t>
  </si>
  <si>
    <r>
      <rPr>
        <rFont val="Calibri"/>
        <color rgb="FF0563C1"/>
        <sz val="11.0"/>
        <u/>
      </rPr>
      <t>vtipton@sandi.net</t>
    </r>
  </si>
  <si>
    <t>Engineering Teacher</t>
  </si>
  <si>
    <r>
      <rPr>
        <rFont val="Calibri"/>
        <color rgb="FF0563C1"/>
        <sz val="11.0"/>
        <u/>
      </rPr>
      <t>jtritchler@sandi.net</t>
    </r>
  </si>
  <si>
    <r>
      <rPr>
        <rFont val="Calibri"/>
        <sz val="11.0"/>
        <u/>
      </rPr>
      <t>Trombley, Mary</t>
    </r>
  </si>
  <si>
    <t>Office Clerk</t>
  </si>
  <si>
    <r>
      <rPr>
        <rFont val="Calibri"/>
        <color rgb="FF0563C1"/>
        <sz val="11.0"/>
        <u/>
      </rPr>
      <t>mtrombley@sandi.net</t>
    </r>
  </si>
  <si>
    <r>
      <rPr>
        <rFont val="Calibri"/>
        <sz val="11.0"/>
        <u/>
      </rPr>
      <t>Valladolid, David</t>
    </r>
  </si>
  <si>
    <t>Campus Security</t>
  </si>
  <si>
    <r>
      <rPr>
        <rFont val="Calibri"/>
        <color rgb="FF0563C1"/>
        <sz val="11.0"/>
        <u/>
      </rPr>
      <t>dvalladolid@sandi.net</t>
    </r>
  </si>
  <si>
    <r>
      <rPr>
        <rFont val="Calibri"/>
        <color rgb="FF0563C1"/>
        <sz val="11.0"/>
        <u/>
      </rPr>
      <t>gwall@sandi.net</t>
    </r>
  </si>
  <si>
    <t>Washle, Daniel</t>
  </si>
  <si>
    <t>dwashle@sandi.net</t>
  </si>
  <si>
    <r>
      <rPr>
        <rFont val="Calibri"/>
        <sz val="11.0"/>
        <u/>
      </rPr>
      <t>Williams, Greg</t>
    </r>
  </si>
  <si>
    <t>Outreach Coordinator</t>
  </si>
  <si>
    <r>
      <rPr>
        <rFont val="Calibri"/>
        <color rgb="FF0563C1"/>
        <sz val="11.0"/>
        <u/>
      </rPr>
      <t>gwilliams3@sandi.net</t>
    </r>
  </si>
  <si>
    <r>
      <rPr>
        <rFont val="Calibri"/>
        <sz val="11.0"/>
        <u/>
      </rPr>
      <t>Worlds, Cherie</t>
    </r>
  </si>
  <si>
    <t>SAI Assistant</t>
  </si>
  <si>
    <r>
      <rPr>
        <rFont val="Calibri"/>
        <color rgb="FF0563C1"/>
        <sz val="11.0"/>
        <u/>
      </rPr>
      <t>cworlds@sandi.net</t>
    </r>
  </si>
  <si>
    <r>
      <rPr>
        <rFont val="Calibri"/>
        <color rgb="FF0563C1"/>
        <sz val="11.0"/>
        <u/>
      </rPr>
      <t>czoltan@sandi.net</t>
    </r>
  </si>
  <si>
    <t>Madison High Teacher Directory 2019-20</t>
  </si>
  <si>
    <t>Staff Member</t>
  </si>
  <si>
    <t>Dept.</t>
  </si>
  <si>
    <t>Courses Taught</t>
  </si>
  <si>
    <r>
      <rPr>
        <rFont val="Calibri"/>
        <color rgb="FF0563C1"/>
        <sz val="11.0"/>
        <u/>
      </rPr>
      <t>Abrahamson, Paul</t>
    </r>
  </si>
  <si>
    <t>PE/JROTC</t>
  </si>
  <si>
    <r>
      <rPr>
        <rFont val="Calibri"/>
        <color rgb="FF0563C1"/>
        <sz val="11.0"/>
        <u/>
      </rPr>
      <t>pabrahamson@sandi.net</t>
    </r>
  </si>
  <si>
    <t>Physical Education</t>
  </si>
  <si>
    <r>
      <rPr>
        <rFont val="Calibri"/>
        <color rgb="FF0563C1"/>
        <sz val="11.0"/>
        <u/>
      </rPr>
      <t>Barker, Jaime</t>
    </r>
  </si>
  <si>
    <t>English</t>
  </si>
  <si>
    <r>
      <rPr>
        <rFont val="Calibri"/>
        <color rgb="FF0563C1"/>
        <sz val="11.0"/>
        <u/>
      </rPr>
      <t>jbarker@sandi.net</t>
    </r>
  </si>
  <si>
    <r>
      <rPr>
        <rFont val="Calibri"/>
        <color rgb="FF000000"/>
        <sz val="11.0"/>
      </rPr>
      <t xml:space="preserve">English 3,4 
</t>
    </r>
    <r>
      <rPr>
        <rFont val="Calibri"/>
        <color rgb="FF000000"/>
        <sz val="11.0"/>
      </rPr>
      <t>English 3,4 ADV</t>
    </r>
  </si>
  <si>
    <r>
      <rPr>
        <rFont val="Calibri"/>
        <color rgb="FF0563C1"/>
        <sz val="11.0"/>
        <u/>
      </rPr>
      <t>Barrett, Monique</t>
    </r>
  </si>
  <si>
    <t>SAI</t>
  </si>
  <si>
    <r>
      <rPr>
        <rFont val="Calibri"/>
        <color rgb="FF0563C1"/>
        <sz val="11.0"/>
        <u/>
      </rPr>
      <t>mbarrett@sandi.net</t>
    </r>
  </si>
  <si>
    <r>
      <rPr>
        <rFont val="Calibri"/>
        <color rgb="FF0563C1"/>
        <sz val="11.0"/>
        <u/>
      </rPr>
      <t>BeMent, Erin</t>
    </r>
  </si>
  <si>
    <t>Math</t>
  </si>
  <si>
    <r>
      <rPr>
        <rFont val="Calibri"/>
        <color rgb="FF0563C1"/>
        <sz val="11.0"/>
        <u/>
      </rPr>
      <t>ebement@sandi.net</t>
    </r>
  </si>
  <si>
    <t>Integrated MATH I A/B
Integrated MATH II A/B</t>
  </si>
  <si>
    <r>
      <rPr>
        <rFont val="Calibri"/>
        <color rgb="FF0563C1"/>
        <sz val="11.0"/>
        <u/>
      </rPr>
      <t>Bishop, Bill</t>
    </r>
  </si>
  <si>
    <t>Science</t>
  </si>
  <si>
    <r>
      <rPr>
        <rFont val="Calibri"/>
        <color rgb="FF0563C1"/>
        <sz val="11.0"/>
        <u/>
      </rPr>
      <t>wbishop@sandi.net</t>
    </r>
  </si>
  <si>
    <t>Biology 1,2</t>
  </si>
  <si>
    <r>
      <rPr>
        <rFont val="Calibri"/>
        <color rgb="FF0563C1"/>
        <sz val="11.0"/>
        <u/>
      </rPr>
      <t>Brooks, John</t>
    </r>
    <r>
      <rPr>
        <rFont val="Calibri"/>
        <color rgb="FF000000"/>
        <sz val="11.0"/>
      </rPr>
      <t> </t>
    </r>
  </si>
  <si>
    <t>DHH</t>
  </si>
  <si>
    <r>
      <rPr>
        <rFont val="Calibri"/>
        <color rgb="FF0563C1"/>
        <sz val="11.0"/>
        <u/>
      </rPr>
      <t>jbrooks@sandi.net</t>
    </r>
  </si>
  <si>
    <r>
      <rPr>
        <rFont val="Calibri"/>
        <color rgb="FF000000"/>
        <sz val="11.0"/>
      </rPr>
      <t>Applied Math 9-12</t>
    </r>
    <r>
      <rPr>
        <rFont val="Calibri"/>
        <color rgb="FF000000"/>
        <sz val="11.0"/>
      </rPr>
      <t xml:space="preserve">
</t>
    </r>
    <r>
      <rPr>
        <rFont val="Calibri"/>
        <color rgb="FF000000"/>
        <sz val="11.0"/>
      </rPr>
      <t>Reading Development 3</t>
    </r>
  </si>
  <si>
    <r>
      <rPr>
        <rFont val="Calibri"/>
        <color rgb="FF0563C1"/>
        <sz val="11.0"/>
        <u/>
      </rPr>
      <t>Campisano, Madeline</t>
    </r>
  </si>
  <si>
    <r>
      <rPr>
        <rFont val="Calibri"/>
        <color rgb="FF0563C1"/>
        <sz val="11.0"/>
        <u/>
      </rPr>
      <t>mcampisano@sandi.net</t>
    </r>
  </si>
  <si>
    <r>
      <rPr>
        <rFont val="Calibri"/>
        <color rgb="FF0563C1"/>
        <sz val="11.0"/>
        <u/>
      </rPr>
      <t>Chase, Whitney</t>
    </r>
  </si>
  <si>
    <t>World Language</t>
  </si>
  <si>
    <r>
      <rPr>
        <rFont val="Calibri"/>
        <color rgb="FF0563C1"/>
        <sz val="11.0"/>
        <u/>
      </rPr>
      <t>wchase@sandi.net</t>
    </r>
  </si>
  <si>
    <t>Spanish 1,2
Spanish 5.6
AP Spanish Language</t>
  </si>
  <si>
    <r>
      <rPr>
        <rFont val="Calibri"/>
        <color rgb="FF0563C1"/>
        <sz val="11.0"/>
        <u/>
      </rPr>
      <t>Chen, Ni Kon</t>
    </r>
  </si>
  <si>
    <t>Social Science</t>
  </si>
  <si>
    <r>
      <rPr>
        <rFont val="Calibri"/>
        <color rgb="FF0563C1"/>
        <sz val="11.0"/>
        <u/>
      </rPr>
      <t>nchen@sandi.net</t>
    </r>
  </si>
  <si>
    <t xml:space="preserve">US History/Geography
AP US History 1,2 
AP Psychology
</t>
  </si>
  <si>
    <r>
      <rPr>
        <rFont val="Calibri"/>
        <color rgb="FF0563C1"/>
        <sz val="11.0"/>
        <u/>
      </rPr>
      <t>Chizmar, Cailyn</t>
    </r>
  </si>
  <si>
    <r>
      <rPr>
        <rFont val="Calibri"/>
        <color rgb="FF0563C1"/>
        <sz val="11.0"/>
        <u/>
      </rPr>
      <t>cchizmar@sandi.net</t>
    </r>
  </si>
  <si>
    <t>Integrated MATH II A/B Integrated MATH III A/B</t>
  </si>
  <si>
    <r>
      <rPr>
        <rFont val="Calibri"/>
        <color rgb="FF0563C1"/>
        <sz val="11.0"/>
        <u/>
      </rPr>
      <t>Coelho, Kimberly</t>
    </r>
  </si>
  <si>
    <t>Culinary Teacher</t>
  </si>
  <si>
    <t>CCTE</t>
  </si>
  <si>
    <r>
      <rPr>
        <rFont val="Calibri"/>
        <color rgb="FF0563C1"/>
        <sz val="11.0"/>
        <u/>
      </rPr>
      <t>kcoelho@sandi.net</t>
    </r>
  </si>
  <si>
    <t>Food Prep &amp; Nutrition
Culinary Arts</t>
  </si>
  <si>
    <r>
      <rPr>
        <rFont val="Calibri"/>
        <color rgb="FF0563C1"/>
        <sz val="11.0"/>
        <u/>
      </rPr>
      <t>Crowle, David</t>
    </r>
  </si>
  <si>
    <t>Music/Band Teacher</t>
  </si>
  <si>
    <r>
      <rPr>
        <rFont val="Calibri"/>
        <color rgb="FF0563C1"/>
        <sz val="11.0"/>
        <u/>
      </rPr>
      <t>dcrowle@sandi.net</t>
    </r>
  </si>
  <si>
    <t>Band 1-8
Orchestra 1-8</t>
  </si>
  <si>
    <r>
      <rPr>
        <rFont val="Calibri"/>
        <color rgb="FF0563C1"/>
        <sz val="11.0"/>
        <u/>
      </rPr>
      <t>Cunningham, William</t>
    </r>
  </si>
  <si>
    <r>
      <rPr>
        <rFont val="Calibri"/>
        <color rgb="FF0563C1"/>
        <sz val="11.0"/>
        <u/>
      </rPr>
      <t>wcunningham@sandi.net</t>
    </r>
  </si>
  <si>
    <r>
      <rPr>
        <rFont val="Calibri"/>
        <color rgb="FF0563C1"/>
        <sz val="11.0"/>
        <u/>
      </rPr>
      <t>Duncan, Tamara</t>
    </r>
  </si>
  <si>
    <r>
      <rPr>
        <rFont val="Calibri"/>
        <color rgb="FF0563C1"/>
        <sz val="11.0"/>
        <u/>
      </rPr>
      <t>tduncan@sandi.net</t>
    </r>
  </si>
  <si>
    <t>English 1,2 
English 1,2 CL</t>
  </si>
  <si>
    <r>
      <rPr>
        <rFont val="Calibri"/>
        <color rgb="FF0563C1"/>
        <sz val="11.0"/>
        <u/>
      </rPr>
      <t>Falvo, Mark</t>
    </r>
  </si>
  <si>
    <r>
      <rPr>
        <rFont val="Calibri"/>
        <color rgb="FF0563C1"/>
        <sz val="11.0"/>
        <u/>
      </rPr>
      <t>mfalvo@sandi.net</t>
    </r>
  </si>
  <si>
    <t>Physics 1,2
Physics 1,2 Advanced
Integrated  Math II A/B Advanced</t>
  </si>
  <si>
    <r>
      <rPr>
        <rFont val="Calibri"/>
        <color rgb="FF0563C1"/>
        <sz val="11.0"/>
        <u/>
      </rPr>
      <t>Fuller, Lili R</t>
    </r>
  </si>
  <si>
    <r>
      <rPr>
        <rFont val="Calibri"/>
        <color rgb="FF0563C1"/>
        <sz val="11.0"/>
        <u/>
      </rPr>
      <t>lreeves@sandi.net</t>
    </r>
  </si>
  <si>
    <t>AP English Language &amp; Composition
Senior AVID
Yearbook Advisor</t>
  </si>
  <si>
    <r>
      <rPr>
        <rFont val="Calibri"/>
        <color rgb="FF0563C1"/>
        <sz val="11.0"/>
        <u/>
      </rPr>
      <t>Gross, Mary Ann</t>
    </r>
  </si>
  <si>
    <r>
      <rPr>
        <rFont val="Calibri"/>
        <color rgb="FF0563C1"/>
        <sz val="11.0"/>
        <u/>
      </rPr>
      <t>mgross@sandi.net</t>
    </r>
  </si>
  <si>
    <t>Applied English 9-12
Multi-level English 9-12
Reading Development</t>
  </si>
  <si>
    <r>
      <rPr>
        <rFont val="Calibri"/>
        <color rgb="FF0563C1"/>
        <sz val="11.0"/>
        <u/>
      </rPr>
      <t>Head, Marian</t>
    </r>
  </si>
  <si>
    <r>
      <rPr>
        <rFont val="Calibri"/>
        <color rgb="FF0563C1"/>
        <sz val="11.0"/>
        <u/>
      </rPr>
      <t>mhead@sandi.net</t>
    </r>
  </si>
  <si>
    <t>Physics 1,2
Honors Chemistry 1,2</t>
  </si>
  <si>
    <r>
      <rPr>
        <rFont val="Calibri"/>
        <color rgb="FF0563C1"/>
        <sz val="11.0"/>
        <u/>
      </rPr>
      <t>Hedley, Linnette</t>
    </r>
  </si>
  <si>
    <r>
      <rPr>
        <rFont val="Calibri"/>
        <color rgb="FF0563C1"/>
        <sz val="11.0"/>
        <u/>
      </rPr>
      <t>lhedley@sandi.net</t>
    </r>
  </si>
  <si>
    <t>AP Human Geography 1,2
Government/Economics 1,2
AP Modern World History 1,2</t>
  </si>
  <si>
    <r>
      <rPr>
        <rFont val="Calibri"/>
        <color rgb="FF0563C1"/>
        <sz val="11.0"/>
        <u/>
      </rPr>
      <t>Hirsch, Miles</t>
    </r>
  </si>
  <si>
    <r>
      <rPr>
        <rFont val="Calibri"/>
        <color rgb="FF0563C1"/>
        <sz val="11.0"/>
        <u/>
      </rPr>
      <t>mhirsch@sandi.net</t>
    </r>
  </si>
  <si>
    <t>Co-teacher</t>
  </si>
  <si>
    <r>
      <rPr>
        <rFont val="Calibri"/>
        <color rgb="FF0563C1"/>
        <sz val="11.0"/>
        <u/>
      </rPr>
      <t>Jackson, Rick</t>
    </r>
  </si>
  <si>
    <r>
      <rPr>
        <rFont val="Calibri"/>
        <color rgb="FF0563C1"/>
        <sz val="11.0"/>
        <u/>
      </rPr>
      <t>rjackson2@sandi.net</t>
    </r>
  </si>
  <si>
    <t>Biology 1,2
Athletics</t>
  </si>
  <si>
    <r>
      <rPr>
        <rFont val="Calibri"/>
        <color rgb="FF0563C1"/>
        <sz val="11.0"/>
        <u/>
      </rPr>
      <t>June, Della</t>
    </r>
  </si>
  <si>
    <r>
      <rPr>
        <rFont val="Calibri"/>
        <color rgb="FF0563C1"/>
        <sz val="11.0"/>
        <u/>
      </rPr>
      <t>djune@sandi.net</t>
    </r>
  </si>
  <si>
    <t>English 3,4
English 1,2 
AP English Language and Composition</t>
  </si>
  <si>
    <r>
      <rPr>
        <rFont val="Calibri"/>
        <color rgb="FF0563C1"/>
        <sz val="11.0"/>
        <u/>
      </rPr>
      <t>Kiyama, Christine</t>
    </r>
  </si>
  <si>
    <r>
      <rPr>
        <rFont val="Calibri"/>
        <color rgb="FF0563C1"/>
        <sz val="11.0"/>
        <u/>
      </rPr>
      <t>ckiyama@sandi.net</t>
    </r>
  </si>
  <si>
    <r>
      <rPr>
        <rFont val="Calibri"/>
        <color rgb="FF000000"/>
        <sz val="11.0"/>
      </rPr>
      <t>Integrated MATH I A/B</t>
    </r>
  </si>
  <si>
    <r>
      <rPr>
        <rFont val="Calibri"/>
        <color rgb="FF0563C1"/>
        <sz val="11.0"/>
        <u/>
      </rPr>
      <t>Lochner, Keith</t>
    </r>
  </si>
  <si>
    <r>
      <rPr>
        <rFont val="Calibri"/>
        <color rgb="FF0563C1"/>
        <sz val="11.0"/>
        <u/>
      </rPr>
      <t>klochner@sandi.net</t>
    </r>
  </si>
  <si>
    <t>AJROTC</t>
  </si>
  <si>
    <r>
      <rPr>
        <rFont val="Calibri"/>
        <color rgb="FF0563C1"/>
        <sz val="11.0"/>
        <u/>
      </rPr>
      <t>Lovato, Robert</t>
    </r>
  </si>
  <si>
    <r>
      <rPr>
        <rFont val="Calibri"/>
        <color rgb="FF0563C1"/>
        <sz val="11.0"/>
        <u/>
      </rPr>
      <t>rlovato@sandi.net</t>
    </r>
  </si>
  <si>
    <t>Physiology 1,2
Biology 1,2</t>
  </si>
  <si>
    <r>
      <rPr>
        <rFont val="Calibri"/>
        <color rgb="FF0563C1"/>
        <sz val="11.0"/>
        <u/>
      </rPr>
      <t>Loyce, Lorrie</t>
    </r>
  </si>
  <si>
    <r>
      <rPr>
        <rFont val="Calibri"/>
        <color rgb="FF0563C1"/>
        <sz val="11.0"/>
        <u/>
      </rPr>
      <t>lloyce@sandi.net</t>
    </r>
  </si>
  <si>
    <t>Video Production 1,2
Broadcast Journalism 1-4</t>
  </si>
  <si>
    <r>
      <rPr>
        <rFont val="Calibri"/>
        <color rgb="FF0563C1"/>
        <sz val="11.0"/>
        <u/>
      </rPr>
      <t>Lynch, Robert</t>
    </r>
  </si>
  <si>
    <r>
      <rPr>
        <rFont val="Calibri"/>
        <color rgb="FF0563C1"/>
        <sz val="11.0"/>
        <u/>
      </rPr>
      <t>rlynch1@sandi.net</t>
    </r>
  </si>
  <si>
    <t xml:space="preserve">Government/Economics 1,2
American Literature 1,2
</t>
  </si>
  <si>
    <t>Maxwell, Teri </t>
  </si>
  <si>
    <t>858-627-7270 x3246</t>
  </si>
  <si>
    <r>
      <rPr>
        <rFont val="Calibri"/>
        <color rgb="FF0563C1"/>
        <sz val="11.0"/>
        <u/>
      </rPr>
      <t>tmaxwell@sandi.net</t>
    </r>
  </si>
  <si>
    <t>Adaptive PE</t>
  </si>
  <si>
    <r>
      <rPr>
        <rFont val="Calibri"/>
        <color rgb="FF0563C1"/>
        <sz val="11.0"/>
        <u/>
      </rPr>
      <t>McDonnell, Kevin</t>
    </r>
    <r>
      <rPr>
        <rFont val="Calibri"/>
        <color rgb="FF000000"/>
        <sz val="11.0"/>
      </rPr>
      <t> </t>
    </r>
  </si>
  <si>
    <r>
      <rPr>
        <rFont val="Calibri"/>
        <color rgb="FF0563C1"/>
        <sz val="11.0"/>
        <u/>
      </rPr>
      <t>kmcdonnell@sandi.net</t>
    </r>
  </si>
  <si>
    <t>Government/Economics 1,2
Modern World History 1,2</t>
  </si>
  <si>
    <r>
      <rPr>
        <rFont val="Calibri"/>
        <color rgb="FF0563C1"/>
        <sz val="11.0"/>
        <u/>
      </rPr>
      <t>Metzger, Nicole</t>
    </r>
  </si>
  <si>
    <r>
      <rPr>
        <rFont val="Calibri"/>
        <color rgb="FF0563C1"/>
        <sz val="11.0"/>
        <u/>
      </rPr>
      <t>npeterson@sandi.net</t>
    </r>
  </si>
  <si>
    <t>American Literature 
English Reading Writing and Composition</t>
  </si>
  <si>
    <r>
      <rPr>
        <rFont val="Calibri"/>
        <color rgb="FF0563C1"/>
        <sz val="11.0"/>
        <u/>
      </rPr>
      <t>Mikamo, Courtney</t>
    </r>
  </si>
  <si>
    <r>
      <rPr>
        <rFont val="Calibri"/>
        <color rgb="FF0563C1"/>
        <sz val="11.0"/>
        <u/>
      </rPr>
      <t>cmikamo@sandi.net</t>
    </r>
  </si>
  <si>
    <r>
      <rPr>
        <rFont val="Calibri"/>
        <color rgb="FF000000"/>
        <sz val="11.0"/>
      </rPr>
      <t xml:space="preserve">AVID 9 A/B     
</t>
    </r>
    <r>
      <rPr>
        <rFont val="Calibri"/>
        <color rgb="FF000000"/>
        <sz val="11.0"/>
      </rPr>
      <t xml:space="preserve">Integrated MATH I A/B 
</t>
    </r>
    <r>
      <rPr>
        <rFont val="Calibri"/>
        <color rgb="FF000000"/>
        <sz val="11.0"/>
      </rPr>
      <t>Integrated MATH II A/B</t>
    </r>
  </si>
  <si>
    <r>
      <rPr>
        <rFont val="Calibri"/>
        <color rgb="FF0563C1"/>
        <sz val="11.0"/>
        <u/>
      </rPr>
      <t>Negrete, Mark</t>
    </r>
  </si>
  <si>
    <r>
      <rPr>
        <rFont val="Calibri"/>
        <color rgb="FF0563C1"/>
        <sz val="11.0"/>
        <u/>
      </rPr>
      <t>mnegrete@sandi.net</t>
    </r>
  </si>
  <si>
    <t>Applied US History/Geography</t>
  </si>
  <si>
    <r>
      <rPr>
        <rFont val="Calibri"/>
        <color rgb="FF0563C1"/>
        <sz val="11.0"/>
        <u/>
      </rPr>
      <t>O'Neal, Christopher</t>
    </r>
  </si>
  <si>
    <r>
      <rPr>
        <rFont val="Calibri"/>
        <color rgb="FF0563C1"/>
        <sz val="11.0"/>
        <u/>
      </rPr>
      <t>coneal@sandi.net</t>
    </r>
  </si>
  <si>
    <r>
      <rPr>
        <rFont val="Calibri"/>
        <color rgb="FF0563C1"/>
        <sz val="11.0"/>
        <u/>
      </rPr>
      <t>Oberle, Greg</t>
    </r>
  </si>
  <si>
    <r>
      <rPr>
        <rFont val="Calibri"/>
        <color rgb="FF0563C1"/>
        <sz val="11.0"/>
        <u/>
      </rPr>
      <t>goberle@sandi.net</t>
    </r>
  </si>
  <si>
    <t>Theatre Tech
Drama</t>
  </si>
  <si>
    <r>
      <rPr>
        <rFont val="Calibri"/>
        <color rgb="FF0563C1"/>
        <sz val="11.0"/>
        <u/>
      </rPr>
      <t>Pennefather, Susan</t>
    </r>
  </si>
  <si>
    <r>
      <rPr>
        <rFont val="Calibri"/>
        <color rgb="FF0563C1"/>
        <sz val="11.0"/>
        <u/>
      </rPr>
      <t>spennefather@sandi.net</t>
    </r>
  </si>
  <si>
    <r>
      <rPr>
        <rFont val="Calibri"/>
        <color rgb="FF0563C1"/>
        <sz val="11.0"/>
        <u/>
      </rPr>
      <t>Quiroz, Peter</t>
    </r>
  </si>
  <si>
    <r>
      <rPr>
        <rFont val="Calibri"/>
        <color rgb="FF0563C1"/>
        <sz val="11.0"/>
        <u/>
      </rPr>
      <t>pquiroz@sandi.net</t>
    </r>
  </si>
  <si>
    <t>Applied Math 9-12
Applied English 9-12</t>
  </si>
  <si>
    <r>
      <rPr>
        <rFont val="Calibri"/>
        <color rgb="FF0563C1"/>
        <sz val="11.0"/>
        <u/>
      </rPr>
      <t>Rabinowitz-Hoy, Wendy</t>
    </r>
  </si>
  <si>
    <r>
      <rPr>
        <rFont val="Calibri"/>
        <color rgb="FF0563C1"/>
        <sz val="11.0"/>
        <u/>
      </rPr>
      <t>wrabinowitz@sandi.net</t>
    </r>
  </si>
  <si>
    <t>Applied English 9-12
Reading Development</t>
  </si>
  <si>
    <r>
      <rPr>
        <rFont val="Calibri"/>
        <color rgb="FF0563C1"/>
        <sz val="11.0"/>
        <u/>
      </rPr>
      <t>Rogers, Marnie</t>
    </r>
  </si>
  <si>
    <r>
      <rPr>
        <rFont val="Calibri"/>
        <color rgb="FF0563C1"/>
        <sz val="11.0"/>
        <u/>
      </rPr>
      <t>mrogers2@sandi.net</t>
    </r>
  </si>
  <si>
    <t>Chemistry 1,2
Honors Chemistry</t>
  </si>
  <si>
    <r>
      <rPr>
        <rFont val="Calibri"/>
        <color rgb="FF0563C1"/>
        <sz val="11.0"/>
        <u/>
      </rPr>
      <t>Rucobo, Shawn</t>
    </r>
  </si>
  <si>
    <r>
      <rPr>
        <rFont val="Calibri"/>
        <color rgb="FF0563C1"/>
        <sz val="11.0"/>
        <u/>
      </rPr>
      <t>crucobo@sandi.net</t>
    </r>
  </si>
  <si>
    <t>Spanish 1,2
Spanish 3,4</t>
  </si>
  <si>
    <r>
      <rPr>
        <rFont val="Calibri"/>
        <color rgb="FF0563C1"/>
        <sz val="11.0"/>
        <u/>
      </rPr>
      <t>Schulz, Nicholas</t>
    </r>
  </si>
  <si>
    <r>
      <rPr>
        <rFont val="Calibri"/>
        <color rgb="FF0563C1"/>
        <sz val="11.0"/>
        <u/>
      </rPr>
      <t>nschulz@sandi.net</t>
    </r>
  </si>
  <si>
    <t>Multi-level Math 9-12</t>
  </si>
  <si>
    <r>
      <rPr>
        <rFont val="Calibri"/>
        <color rgb="FF0563C1"/>
        <sz val="11.0"/>
        <u/>
      </rPr>
      <t>Sevilla, Omar</t>
    </r>
  </si>
  <si>
    <r>
      <rPr>
        <rFont val="Calibri"/>
        <color rgb="FF0563C1"/>
        <sz val="11.0"/>
        <u/>
      </rPr>
      <t>osevillajr@sandi.net</t>
    </r>
  </si>
  <si>
    <t>Automotive Technology</t>
  </si>
  <si>
    <r>
      <rPr>
        <rFont val="Calibri"/>
        <color rgb="FF0563C1"/>
        <sz val="11.0"/>
        <u/>
      </rPr>
      <t>Silvels, Aneesah</t>
    </r>
  </si>
  <si>
    <r>
      <rPr>
        <rFont val="Calibri"/>
        <color rgb="FF0563C1"/>
        <sz val="11.0"/>
        <u/>
      </rPr>
      <t>asilvels@sandi.net</t>
    </r>
  </si>
  <si>
    <t>Financial Math 9-12
Transition Skills 11-12</t>
  </si>
  <si>
    <r>
      <rPr>
        <rFont val="Calibri"/>
        <color rgb="FF0563C1"/>
        <sz val="11.0"/>
        <u/>
      </rPr>
      <t>Siracusa, Brittani</t>
    </r>
    <r>
      <rPr>
        <rFont val="Calibri"/>
        <color rgb="FF000000"/>
        <sz val="11.0"/>
      </rPr>
      <t> </t>
    </r>
  </si>
  <si>
    <r>
      <rPr>
        <rFont val="Calibri"/>
        <color rgb="FF0563C1"/>
        <sz val="11.0"/>
        <u/>
      </rPr>
      <t>bsiracusa@sandi.net</t>
    </r>
  </si>
  <si>
    <t>Student Government (ASB) 9-12TH</t>
  </si>
  <si>
    <r>
      <rPr>
        <rFont val="Calibri"/>
        <color rgb="FF0563C1"/>
        <sz val="11.0"/>
        <u/>
      </rPr>
      <t>Smith, Arinn</t>
    </r>
  </si>
  <si>
    <r>
      <rPr>
        <rFont val="Calibri"/>
        <color rgb="FF0563C1"/>
        <sz val="11.0"/>
        <u/>
      </rPr>
      <t>asmith@sandi.net</t>
    </r>
  </si>
  <si>
    <t>American Sign Language</t>
  </si>
  <si>
    <r>
      <rPr>
        <rFont val="Calibri"/>
        <color rgb="FF0563C1"/>
        <sz val="11.0"/>
        <u/>
      </rPr>
      <t>Sneddon, Tay</t>
    </r>
  </si>
  <si>
    <r>
      <rPr>
        <rFont val="Calibri"/>
        <color rgb="FF0563C1"/>
        <sz val="11.0"/>
        <u/>
      </rPr>
      <t>tsneddon@sandi.net</t>
    </r>
  </si>
  <si>
    <t>Modern World History 1,2
US History/Geography 1,2</t>
  </si>
  <si>
    <r>
      <rPr>
        <rFont val="Calibri"/>
        <color rgb="FF0563C1"/>
        <sz val="11.0"/>
        <u/>
      </rPr>
      <t>Staninger, Thomas</t>
    </r>
  </si>
  <si>
    <r>
      <rPr>
        <rFont val="Calibri"/>
        <color rgb="FF0563C1"/>
        <sz val="11.0"/>
        <u/>
      </rPr>
      <t>tstaninger@sandi.net</t>
    </r>
  </si>
  <si>
    <t>English Reading Writing and Composition
English 4 ADV</t>
  </si>
  <si>
    <r>
      <rPr>
        <rFont val="Calibri"/>
        <color rgb="FF0563C1"/>
        <sz val="11.0"/>
        <u/>
      </rPr>
      <t>Stout, Robert</t>
    </r>
  </si>
  <si>
    <r>
      <rPr>
        <rFont val="Calibri"/>
        <color rgb="FF0563C1"/>
        <sz val="11.0"/>
        <u/>
      </rPr>
      <t>bstout@sandi.net</t>
    </r>
  </si>
  <si>
    <t>Integrated Math III A/B ADV
Honors Precalculus 1,2</t>
  </si>
  <si>
    <r>
      <rPr>
        <rFont val="Calibri"/>
        <color rgb="FF0563C1"/>
        <sz val="11.0"/>
        <u/>
      </rPr>
      <t>Strukel, Jeffrey</t>
    </r>
  </si>
  <si>
    <r>
      <rPr>
        <rFont val="Calibri"/>
        <color rgb="FF0563C1"/>
        <sz val="11.0"/>
        <u/>
      </rPr>
      <t>jstrukel@sandi.net</t>
    </r>
  </si>
  <si>
    <t>Design In Mixed Media
Ceramics</t>
  </si>
  <si>
    <r>
      <rPr>
        <rFont val="Calibri"/>
        <color rgb="FF0563C1"/>
        <sz val="11.0"/>
        <u/>
      </rPr>
      <t>Stutz, Mike</t>
    </r>
  </si>
  <si>
    <r>
      <rPr>
        <rFont val="Calibri"/>
        <color rgb="FF0563C1"/>
        <sz val="11.0"/>
        <u/>
      </rPr>
      <t>mstutz@sandi.net</t>
    </r>
  </si>
  <si>
    <r>
      <rPr>
        <rFont val="Calibri"/>
        <color rgb="FF0563C1"/>
        <sz val="11.0"/>
        <u/>
      </rPr>
      <t>Tritchler, Mike</t>
    </r>
  </si>
  <si>
    <r>
      <rPr>
        <rFont val="Calibri"/>
        <color rgb="FF0563C1"/>
        <sz val="11.0"/>
        <u/>
      </rPr>
      <t>jtritchler@sandi.net</t>
    </r>
  </si>
  <si>
    <t>Green Up and Go
Environmental Engineering</t>
  </si>
  <si>
    <r>
      <rPr>
        <rFont val="Calibri"/>
        <color rgb="FF0563C1"/>
        <sz val="11.0"/>
        <u/>
      </rPr>
      <t>Ulibarri, Cheril</t>
    </r>
    <r>
      <rPr>
        <rFont val="Calibri"/>
        <color rgb="FF000000"/>
        <sz val="11.0"/>
      </rPr>
      <t>l</t>
    </r>
  </si>
  <si>
    <r>
      <rPr>
        <rFont val="Calibri"/>
        <color rgb="FF0563C1"/>
        <sz val="11.0"/>
        <u/>
      </rPr>
      <t>culibarri@sandi.net</t>
    </r>
  </si>
  <si>
    <t>Statistical Data Analysis 1,2
AVID 11 A/B               
AP Statistics 1,2</t>
  </si>
  <si>
    <r>
      <rPr>
        <rFont val="Calibri"/>
        <color rgb="FF0563C1"/>
        <sz val="11.0"/>
        <u/>
      </rPr>
      <t>Wall, Greg </t>
    </r>
  </si>
  <si>
    <r>
      <rPr>
        <rFont val="Calibri"/>
        <color rgb="FF0563C1"/>
        <sz val="11.0"/>
        <u/>
      </rPr>
      <t>gwall@sandi.net</t>
    </r>
  </si>
  <si>
    <t>FNC Language Arts 9-12
FNC MATH 9-12
FNC Social Studies 9-12
FNC TRANS 9-12
FNC Science 9-12</t>
  </si>
  <si>
    <r>
      <rPr>
        <rFont val="Calibri"/>
        <color rgb="FF0563C1"/>
        <sz val="11.0"/>
        <u/>
      </rPr>
      <t>Zoltan, Cindy</t>
    </r>
  </si>
  <si>
    <r>
      <rPr>
        <rFont val="Calibri"/>
        <color rgb="FF0563C1"/>
        <sz val="11.0"/>
        <u/>
      </rPr>
      <t>czoltan@sandi.net</t>
    </r>
  </si>
  <si>
    <r>
      <rPr>
        <rFont val="Calibri"/>
        <color rgb="FF000000"/>
        <sz val="11.0"/>
      </rPr>
      <t>ALD Culture and Communication 1,2</t>
    </r>
    <r>
      <rPr>
        <rFont val="Calibri"/>
        <color rgb="FF000000"/>
        <sz val="11.0"/>
      </rPr>
      <t xml:space="preserve">       
</t>
    </r>
    <r>
      <rPr>
        <rFont val="Calibri"/>
        <color rgb="FF000000"/>
        <sz val="11.0"/>
      </rPr>
      <t xml:space="preserve">English 1,2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</si>
</sst>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</font>
    <font>
      <b/>
      <sz val="11.0"/>
      <color rgb="FF000000"/>
      <name val="Helvetica Neue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14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rgb="FFF4F4F4"/>
        <bgColor rgb="FFF4F4F4"/>
      </patternFill>
    </fill>
    <fill>
      <patternFill patternType="solid">
        <fgColor rgb="FFDCDCDC"/>
        <bgColor rgb="FFDCDCDC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vertical="bottom"/>
    </xf>
    <xf borderId="1" fillId="2" fontId="1" numFmtId="49" xfId="0" applyAlignment="1" applyBorder="1" applyFill="1" applyFont="1" applyNumberFormat="1">
      <alignment horizontal="center" readingOrder="0" vertical="bottom"/>
    </xf>
    <xf borderId="1" fillId="2" fontId="1" numFmtId="49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vertical="bottom"/>
    </xf>
    <xf borderId="1" fillId="0" fontId="0" numFmtId="49" xfId="0" applyAlignment="1" applyBorder="1" applyFont="1" applyNumberFormat="1">
      <alignment vertical="bottom"/>
    </xf>
    <xf borderId="1" fillId="3" fontId="0" numFmtId="0" xfId="0" applyAlignment="1" applyBorder="1" applyFill="1" applyFont="1">
      <alignment vertical="bottom"/>
    </xf>
    <xf borderId="1" fillId="0" fontId="3" numFmtId="49" xfId="0" applyAlignment="1" applyBorder="1" applyFont="1" applyNumberFormat="1">
      <alignment vertical="bottom"/>
    </xf>
    <xf borderId="1" fillId="0" fontId="0" numFmtId="0" xfId="0" applyAlignment="1" applyBorder="1" applyFont="1">
      <alignment vertical="bottom"/>
    </xf>
    <xf borderId="1" fillId="3" fontId="4" numFmtId="49" xfId="0" applyAlignment="1" applyBorder="1" applyFont="1" applyNumberFormat="1">
      <alignment vertical="top"/>
    </xf>
    <xf borderId="1" fillId="3" fontId="0" numFmtId="49" xfId="0" applyAlignment="1" applyBorder="1" applyFont="1" applyNumberFormat="1">
      <alignment shrinkToFit="0" vertical="top" wrapText="1"/>
    </xf>
    <xf borderId="1" fillId="3" fontId="5" numFmtId="49" xfId="0" applyAlignment="1" applyBorder="1" applyFont="1" applyNumberFormat="1">
      <alignment vertical="top"/>
    </xf>
    <xf borderId="1" fillId="3" fontId="0" numFmtId="0" xfId="0" applyAlignment="1" applyBorder="1" applyFont="1">
      <alignment vertical="top"/>
    </xf>
    <xf borderId="1" fillId="0" fontId="6" numFmtId="49" xfId="0" applyAlignment="1" applyBorder="1" applyFont="1" applyNumberFormat="1">
      <alignment readingOrder="0" vertical="bottom"/>
    </xf>
    <xf borderId="1" fillId="0" fontId="5" numFmtId="49" xfId="0" applyAlignment="1" applyBorder="1" applyFont="1" applyNumberFormat="1">
      <alignment vertical="bottom"/>
    </xf>
    <xf borderId="1" fillId="3" fontId="0" numFmtId="49" xfId="0" applyAlignment="1" applyBorder="1" applyFont="1" applyNumberFormat="1">
      <alignment vertical="bottom"/>
    </xf>
    <xf borderId="1" fillId="0" fontId="0" numFmtId="49" xfId="0" applyAlignment="1" applyBorder="1" applyFont="1" applyNumberFormat="1">
      <alignment readingOrder="0" vertical="bottom"/>
    </xf>
    <xf borderId="1" fillId="0" fontId="0" numFmtId="0" xfId="0" applyAlignment="1" applyBorder="1" applyFont="1">
      <alignment readingOrder="0" vertical="bottom"/>
    </xf>
    <xf borderId="1" fillId="3" fontId="7" numFmtId="49" xfId="0" applyAlignment="1" applyBorder="1" applyFont="1" applyNumberFormat="1">
      <alignment shrinkToFit="0" vertical="center" wrapText="1"/>
    </xf>
    <xf borderId="1" fillId="3" fontId="5" numFmtId="49" xfId="0" applyAlignment="1" applyBorder="1" applyFont="1" applyNumberFormat="1">
      <alignment shrinkToFit="0" vertical="center" wrapText="1"/>
    </xf>
    <xf borderId="1" fillId="0" fontId="5" numFmtId="49" xfId="0" applyAlignment="1" applyBorder="1" applyFont="1" applyNumberFormat="1">
      <alignment readingOrder="0" vertical="bottom"/>
    </xf>
    <xf borderId="1" fillId="0" fontId="5" numFmtId="49" xfId="0" applyAlignment="1" applyBorder="1" applyFont="1" applyNumberFormat="1">
      <alignment readingOrder="0" vertical="bottom"/>
    </xf>
    <xf borderId="0" fillId="0" fontId="8" numFmtId="0" xfId="0" applyAlignment="1" applyFont="1">
      <alignment horizontal="center" vertical="center"/>
    </xf>
    <xf borderId="2" fillId="2" fontId="1" numFmtId="49" xfId="0" applyAlignment="1" applyBorder="1" applyFont="1" applyNumberFormat="1">
      <alignment horizontal="center" vertical="bottom"/>
    </xf>
    <xf borderId="2" fillId="2" fontId="0" numFmtId="49" xfId="0" applyAlignment="1" applyBorder="1" applyFont="1" applyNumberFormat="1">
      <alignment vertical="bottom"/>
    </xf>
    <xf borderId="2" fillId="2" fontId="0" numFmtId="0" xfId="0" applyAlignment="1" applyBorder="1" applyFont="1">
      <alignment vertical="bottom"/>
    </xf>
    <xf borderId="3" fillId="4" fontId="9" numFmtId="49" xfId="0" applyAlignment="1" applyBorder="1" applyFill="1" applyFont="1" applyNumberFormat="1">
      <alignment vertical="bottom"/>
    </xf>
    <xf borderId="3" fillId="0" fontId="0" numFmtId="49" xfId="0" applyAlignment="1" applyBorder="1" applyFont="1" applyNumberFormat="1">
      <alignment vertical="bottom"/>
    </xf>
    <xf borderId="3" fillId="0" fontId="0" numFmtId="0" xfId="0" applyAlignment="1" applyBorder="1" applyFont="1">
      <alignment vertical="bottom"/>
    </xf>
    <xf borderId="3" fillId="0" fontId="10" numFmtId="49" xfId="0" applyAlignment="1" applyBorder="1" applyFont="1" applyNumberFormat="1">
      <alignment vertical="bottom"/>
    </xf>
    <xf borderId="4" fillId="4" fontId="11" numFmtId="49" xfId="0" applyAlignment="1" applyBorder="1" applyFont="1" applyNumberFormat="1">
      <alignment vertical="bottom"/>
    </xf>
    <xf borderId="4" fillId="5" fontId="0" numFmtId="49" xfId="0" applyAlignment="1" applyBorder="1" applyFill="1" applyFont="1" applyNumberFormat="1">
      <alignment vertical="bottom"/>
    </xf>
    <xf borderId="4" fillId="5" fontId="0" numFmtId="0" xfId="0" applyAlignment="1" applyBorder="1" applyFont="1">
      <alignment vertical="bottom"/>
    </xf>
    <xf borderId="4" fillId="5" fontId="12" numFmtId="49" xfId="0" applyAlignment="1" applyBorder="1" applyFont="1" applyNumberFormat="1">
      <alignment vertical="bottom"/>
    </xf>
    <xf borderId="4" fillId="5" fontId="0" numFmtId="49" xfId="0" applyAlignment="1" applyBorder="1" applyFont="1" applyNumberFormat="1">
      <alignment shrinkToFit="0" vertical="bottom" wrapText="1"/>
    </xf>
    <xf borderId="4" fillId="0" fontId="0" numFmtId="49" xfId="0" applyAlignment="1" applyBorder="1" applyFont="1" applyNumberFormat="1">
      <alignment vertical="bottom"/>
    </xf>
    <xf borderId="4" fillId="0" fontId="0" numFmtId="0" xfId="0" applyAlignment="1" applyBorder="1" applyFont="1">
      <alignment vertical="bottom"/>
    </xf>
    <xf borderId="4" fillId="0" fontId="13" numFmtId="49" xfId="0" applyAlignment="1" applyBorder="1" applyFont="1" applyNumberFormat="1">
      <alignment vertical="bottom"/>
    </xf>
    <xf borderId="4" fillId="5" fontId="0" numFmtId="49" xfId="0" applyAlignment="1" applyBorder="1" applyFont="1" applyNumberFormat="1">
      <alignment horizontal="right" shrinkToFit="0" vertical="bottom" wrapText="1"/>
    </xf>
    <xf borderId="4" fillId="0" fontId="0" numFmtId="49" xfId="0" applyAlignment="1" applyBorder="1" applyFont="1" applyNumberFormat="1">
      <alignment shrinkToFit="0" vertical="bottom" wrapText="1"/>
    </xf>
    <xf borderId="4" fillId="6" fontId="14" numFmtId="49" xfId="0" applyAlignment="1" applyBorder="1" applyFill="1" applyFont="1" applyNumberFormat="1">
      <alignment shrinkToFit="0" vertical="center" wrapText="1"/>
    </xf>
    <xf borderId="4" fillId="7" fontId="0" numFmtId="49" xfId="0" applyAlignment="1" applyBorder="1" applyFill="1" applyFont="1" applyNumberFormat="1">
      <alignment shrinkToFit="0" vertical="center" wrapText="1"/>
    </xf>
    <xf borderId="4" fillId="0" fontId="0" numFmtId="4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guerra@sandi.net" TargetMode="External"/><Relationship Id="rId42" Type="http://schemas.openxmlformats.org/officeDocument/2006/relationships/hyperlink" Target="mailto:jhaley@sandi.net" TargetMode="External"/><Relationship Id="rId41" Type="http://schemas.openxmlformats.org/officeDocument/2006/relationships/hyperlink" Target="mailto:ksaville@sandi.net" TargetMode="External"/><Relationship Id="rId44" Type="http://schemas.openxmlformats.org/officeDocument/2006/relationships/hyperlink" Target="mailto:lhedley@sandi.net" TargetMode="External"/><Relationship Id="rId43" Type="http://schemas.openxmlformats.org/officeDocument/2006/relationships/hyperlink" Target="mailto:mhead@sandi.net" TargetMode="External"/><Relationship Id="rId46" Type="http://schemas.openxmlformats.org/officeDocument/2006/relationships/hyperlink" Target="mailto:rjackson2@sandi.net" TargetMode="External"/><Relationship Id="rId45" Type="http://schemas.openxmlformats.org/officeDocument/2006/relationships/hyperlink" Target="mailto:mhirsch@sandi.net" TargetMode="External"/><Relationship Id="rId107" Type="http://schemas.openxmlformats.org/officeDocument/2006/relationships/hyperlink" Target="mailto:gwall@sandi.net" TargetMode="External"/><Relationship Id="rId106" Type="http://schemas.openxmlformats.org/officeDocument/2006/relationships/hyperlink" Target="mailto:dvalladolid@sandi.net" TargetMode="External"/><Relationship Id="rId105" Type="http://schemas.openxmlformats.org/officeDocument/2006/relationships/hyperlink" Target="mailto:dvalladolid@sandi.net" TargetMode="External"/><Relationship Id="rId104" Type="http://schemas.openxmlformats.org/officeDocument/2006/relationships/hyperlink" Target="mailto:mtrombley@sandi.net" TargetMode="External"/><Relationship Id="rId109" Type="http://schemas.openxmlformats.org/officeDocument/2006/relationships/hyperlink" Target="mailto:gwilliams3@sandi.net" TargetMode="External"/><Relationship Id="rId108" Type="http://schemas.openxmlformats.org/officeDocument/2006/relationships/hyperlink" Target="mailto:dwashle@sandi.net" TargetMode="External"/><Relationship Id="rId48" Type="http://schemas.openxmlformats.org/officeDocument/2006/relationships/hyperlink" Target="mailto:klochner@sandi.net" TargetMode="External"/><Relationship Id="rId47" Type="http://schemas.openxmlformats.org/officeDocument/2006/relationships/hyperlink" Target="mailto:tjohnson8@sandi.net" TargetMode="External"/><Relationship Id="rId49" Type="http://schemas.openxmlformats.org/officeDocument/2006/relationships/hyperlink" Target="mailto:ckiyama@sandi.net" TargetMode="External"/><Relationship Id="rId103" Type="http://schemas.openxmlformats.org/officeDocument/2006/relationships/hyperlink" Target="mailto:mtrombley@sandi.net" TargetMode="External"/><Relationship Id="rId102" Type="http://schemas.openxmlformats.org/officeDocument/2006/relationships/hyperlink" Target="mailto:jtritchler@sandi.net" TargetMode="External"/><Relationship Id="rId101" Type="http://schemas.openxmlformats.org/officeDocument/2006/relationships/hyperlink" Target="mailto:vtipton@sandi.net" TargetMode="External"/><Relationship Id="rId100" Type="http://schemas.openxmlformats.org/officeDocument/2006/relationships/hyperlink" Target="mailto:mstutz@sandi.net" TargetMode="External"/><Relationship Id="rId31" Type="http://schemas.openxmlformats.org/officeDocument/2006/relationships/hyperlink" Target="mailto:mfrancescotti@sandi.net" TargetMode="External"/><Relationship Id="rId30" Type="http://schemas.openxmlformats.org/officeDocument/2006/relationships/hyperlink" Target="mailto:jfirks@sandi.net" TargetMode="External"/><Relationship Id="rId33" Type="http://schemas.openxmlformats.org/officeDocument/2006/relationships/hyperlink" Target="mailto:lreeves@sandi.net" TargetMode="External"/><Relationship Id="rId32" Type="http://schemas.openxmlformats.org/officeDocument/2006/relationships/hyperlink" Target="mailto:mfrancescotti@sandi.net" TargetMode="External"/><Relationship Id="rId35" Type="http://schemas.openxmlformats.org/officeDocument/2006/relationships/hyperlink" Target="mailto:igil@sandi.net" TargetMode="External"/><Relationship Id="rId34" Type="http://schemas.openxmlformats.org/officeDocument/2006/relationships/hyperlink" Target="mailto:igil@sandi.net" TargetMode="External"/><Relationship Id="rId37" Type="http://schemas.openxmlformats.org/officeDocument/2006/relationships/hyperlink" Target="mailto:mgonzalez@sandi.net" TargetMode="External"/><Relationship Id="rId36" Type="http://schemas.openxmlformats.org/officeDocument/2006/relationships/hyperlink" Target="mailto:mgonzalez@sandi.net" TargetMode="External"/><Relationship Id="rId39" Type="http://schemas.openxmlformats.org/officeDocument/2006/relationships/hyperlink" Target="mailto:tbellini@sandi.net" TargetMode="External"/><Relationship Id="rId38" Type="http://schemas.openxmlformats.org/officeDocument/2006/relationships/hyperlink" Target="mailto:mgross@sandi.net" TargetMode="External"/><Relationship Id="rId20" Type="http://schemas.openxmlformats.org/officeDocument/2006/relationships/hyperlink" Target="mailto:wchase@sandi.net" TargetMode="External"/><Relationship Id="rId22" Type="http://schemas.openxmlformats.org/officeDocument/2006/relationships/hyperlink" Target="mailto:cchizmar@sandi.net" TargetMode="External"/><Relationship Id="rId21" Type="http://schemas.openxmlformats.org/officeDocument/2006/relationships/hyperlink" Target="mailto:nchen@sandi.net" TargetMode="External"/><Relationship Id="rId24" Type="http://schemas.openxmlformats.org/officeDocument/2006/relationships/hyperlink" Target="mailto:mdartland@sandi.net" TargetMode="External"/><Relationship Id="rId23" Type="http://schemas.openxmlformats.org/officeDocument/2006/relationships/hyperlink" Target="mailto:wcunningham@sandi.net" TargetMode="External"/><Relationship Id="rId26" Type="http://schemas.openxmlformats.org/officeDocument/2006/relationships/hyperlink" Target="mailto:tduncan@sandi.net" TargetMode="External"/><Relationship Id="rId25" Type="http://schemas.openxmlformats.org/officeDocument/2006/relationships/hyperlink" Target="mailto:mdartland@sandi.net" TargetMode="External"/><Relationship Id="rId28" Type="http://schemas.openxmlformats.org/officeDocument/2006/relationships/hyperlink" Target="mailto:mevans@sandi.net" TargetMode="External"/><Relationship Id="rId27" Type="http://schemas.openxmlformats.org/officeDocument/2006/relationships/hyperlink" Target="mailto:mevans2@sandi.net" TargetMode="External"/><Relationship Id="rId29" Type="http://schemas.openxmlformats.org/officeDocument/2006/relationships/hyperlink" Target="mailto:mfalvo@sandi.net" TargetMode="External"/><Relationship Id="rId95" Type="http://schemas.openxmlformats.org/officeDocument/2006/relationships/hyperlink" Target="mailto:gsokil@sandi.net" TargetMode="External"/><Relationship Id="rId94" Type="http://schemas.openxmlformats.org/officeDocument/2006/relationships/hyperlink" Target="mailto:tsneddon@sandi.net" TargetMode="External"/><Relationship Id="rId97" Type="http://schemas.openxmlformats.org/officeDocument/2006/relationships/hyperlink" Target="mailto:tstaninger@sandi.net" TargetMode="External"/><Relationship Id="rId96" Type="http://schemas.openxmlformats.org/officeDocument/2006/relationships/hyperlink" Target="mailto:gsokil@sandi.net" TargetMode="External"/><Relationship Id="rId11" Type="http://schemas.openxmlformats.org/officeDocument/2006/relationships/hyperlink" Target="mailto:wbishop@sandi.net" TargetMode="External"/><Relationship Id="rId99" Type="http://schemas.openxmlformats.org/officeDocument/2006/relationships/hyperlink" Target="mailto:jstrukel@sandi.net" TargetMode="External"/><Relationship Id="rId10" Type="http://schemas.openxmlformats.org/officeDocument/2006/relationships/hyperlink" Target="mailto:mbarrett@sandi.net" TargetMode="External"/><Relationship Id="rId98" Type="http://schemas.openxmlformats.org/officeDocument/2006/relationships/hyperlink" Target="mailto:bstout@sandi.net" TargetMode="External"/><Relationship Id="rId13" Type="http://schemas.openxmlformats.org/officeDocument/2006/relationships/hyperlink" Target="mailto:sbonslater@sandi.net" TargetMode="External"/><Relationship Id="rId12" Type="http://schemas.openxmlformats.org/officeDocument/2006/relationships/hyperlink" Target="mailto:cbobis@sandi.net" TargetMode="External"/><Relationship Id="rId91" Type="http://schemas.openxmlformats.org/officeDocument/2006/relationships/hyperlink" Target="mailto:asmith@sandi.net" TargetMode="External"/><Relationship Id="rId90" Type="http://schemas.openxmlformats.org/officeDocument/2006/relationships/hyperlink" Target="mailto:bsiracusa@sandi.net" TargetMode="External"/><Relationship Id="rId93" Type="http://schemas.openxmlformats.org/officeDocument/2006/relationships/hyperlink" Target="mailto:esmith@sandi.net" TargetMode="External"/><Relationship Id="rId92" Type="http://schemas.openxmlformats.org/officeDocument/2006/relationships/hyperlink" Target="mailto:esmith@sandi.net" TargetMode="External"/><Relationship Id="rId15" Type="http://schemas.openxmlformats.org/officeDocument/2006/relationships/hyperlink" Target="mailto:mcann@sandi.net" TargetMode="External"/><Relationship Id="rId110" Type="http://schemas.openxmlformats.org/officeDocument/2006/relationships/hyperlink" Target="mailto:gwilliams3@sandi.net" TargetMode="External"/><Relationship Id="rId14" Type="http://schemas.openxmlformats.org/officeDocument/2006/relationships/hyperlink" Target="mailto:jbrooks@sandi.net" TargetMode="External"/><Relationship Id="rId17" Type="http://schemas.openxmlformats.org/officeDocument/2006/relationships/hyperlink" Target="mailto:ycanizalez@sandi.net" TargetMode="External"/><Relationship Id="rId16" Type="http://schemas.openxmlformats.org/officeDocument/2006/relationships/hyperlink" Target="mailto:mcampisano@sandi.net" TargetMode="External"/><Relationship Id="rId19" Type="http://schemas.openxmlformats.org/officeDocument/2006/relationships/hyperlink" Target="mailto:icastro3@sandi.net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mailto:icastro3@sandi.net" TargetMode="External"/><Relationship Id="rId113" Type="http://schemas.openxmlformats.org/officeDocument/2006/relationships/hyperlink" Target="mailto:czoltan@sandi.net" TargetMode="External"/><Relationship Id="rId112" Type="http://schemas.openxmlformats.org/officeDocument/2006/relationships/hyperlink" Target="mailto:cworlds@sandi.net" TargetMode="External"/><Relationship Id="rId111" Type="http://schemas.openxmlformats.org/officeDocument/2006/relationships/hyperlink" Target="mailto:cworlds@sandi.net" TargetMode="External"/><Relationship Id="rId84" Type="http://schemas.openxmlformats.org/officeDocument/2006/relationships/hyperlink" Target="mailto:msalamanca@sandi.net" TargetMode="External"/><Relationship Id="rId83" Type="http://schemas.openxmlformats.org/officeDocument/2006/relationships/hyperlink" Target="mailto:msalamanca@sandi.net" TargetMode="External"/><Relationship Id="rId86" Type="http://schemas.openxmlformats.org/officeDocument/2006/relationships/hyperlink" Target="mailto:rnash@sandi.net" TargetMode="External"/><Relationship Id="rId85" Type="http://schemas.openxmlformats.org/officeDocument/2006/relationships/hyperlink" Target="mailto:nschulz@sandi.net" TargetMode="External"/><Relationship Id="rId88" Type="http://schemas.openxmlformats.org/officeDocument/2006/relationships/hyperlink" Target="mailto:osevillajr@sandi.net" TargetMode="External"/><Relationship Id="rId87" Type="http://schemas.openxmlformats.org/officeDocument/2006/relationships/hyperlink" Target="mailto:hseaton@sandi.net" TargetMode="External"/><Relationship Id="rId89" Type="http://schemas.openxmlformats.org/officeDocument/2006/relationships/hyperlink" Target="mailto:asilvels@sandi.net" TargetMode="External"/><Relationship Id="rId80" Type="http://schemas.openxmlformats.org/officeDocument/2006/relationships/hyperlink" Target="mailto:crucobo@sandi.net" TargetMode="External"/><Relationship Id="rId82" Type="http://schemas.openxmlformats.org/officeDocument/2006/relationships/hyperlink" Target="mailto:ksafa@sandi.net" TargetMode="External"/><Relationship Id="rId81" Type="http://schemas.openxmlformats.org/officeDocument/2006/relationships/hyperlink" Target="mailto:ksafa@sandi.net" TargetMode="External"/><Relationship Id="rId1" Type="http://schemas.openxmlformats.org/officeDocument/2006/relationships/hyperlink" Target="mailto:pabrahamson@sandi.net" TargetMode="External"/><Relationship Id="rId2" Type="http://schemas.openxmlformats.org/officeDocument/2006/relationships/hyperlink" Target="mailto:gwilliams3@sandi.net" TargetMode="External"/><Relationship Id="rId3" Type="http://schemas.openxmlformats.org/officeDocument/2006/relationships/hyperlink" Target="mailto:rjackson2@sandi.net" TargetMode="External"/><Relationship Id="rId4" Type="http://schemas.openxmlformats.org/officeDocument/2006/relationships/hyperlink" Target="mailto:rjackson2@sandi.net" TargetMode="External"/><Relationship Id="rId9" Type="http://schemas.openxmlformats.org/officeDocument/2006/relationships/hyperlink" Target="mailto:jbarker@sandi.net" TargetMode="External"/><Relationship Id="rId5" Type="http://schemas.openxmlformats.org/officeDocument/2006/relationships/hyperlink" Target="mailto:icastro3@sandi.net" TargetMode="External"/><Relationship Id="rId6" Type="http://schemas.openxmlformats.org/officeDocument/2006/relationships/hyperlink" Target="mailto:icastro3@sandi.net" TargetMode="External"/><Relationship Id="rId7" Type="http://schemas.openxmlformats.org/officeDocument/2006/relationships/hyperlink" Target="mailto:kbalzer@sandi.net" TargetMode="External"/><Relationship Id="rId8" Type="http://schemas.openxmlformats.org/officeDocument/2006/relationships/hyperlink" Target="mailto:kbalzer@sandi.net" TargetMode="External"/><Relationship Id="rId73" Type="http://schemas.openxmlformats.org/officeDocument/2006/relationships/hyperlink" Target="mailto:rpeters@sandi.net" TargetMode="External"/><Relationship Id="rId72" Type="http://schemas.openxmlformats.org/officeDocument/2006/relationships/hyperlink" Target="mailto:rpeters@sandi.net" TargetMode="External"/><Relationship Id="rId75" Type="http://schemas.openxmlformats.org/officeDocument/2006/relationships/hyperlink" Target="mailto:pfranchina@sandi.net" TargetMode="External"/><Relationship Id="rId74" Type="http://schemas.openxmlformats.org/officeDocument/2006/relationships/hyperlink" Target="mailto:ckuamoo@sandi.net" TargetMode="External"/><Relationship Id="rId77" Type="http://schemas.openxmlformats.org/officeDocument/2006/relationships/hyperlink" Target="mailto:wrabinowitz@sandi.net" TargetMode="External"/><Relationship Id="rId76" Type="http://schemas.openxmlformats.org/officeDocument/2006/relationships/hyperlink" Target="mailto:pquiroz@sandi.net" TargetMode="External"/><Relationship Id="rId79" Type="http://schemas.openxmlformats.org/officeDocument/2006/relationships/hyperlink" Target="mailto:mrogers2@sandi.net" TargetMode="External"/><Relationship Id="rId78" Type="http://schemas.openxmlformats.org/officeDocument/2006/relationships/hyperlink" Target="mailto:hrichards@sandi.net" TargetMode="External"/><Relationship Id="rId71" Type="http://schemas.openxmlformats.org/officeDocument/2006/relationships/hyperlink" Target="mailto:goberle@sandi.net" TargetMode="External"/><Relationship Id="rId70" Type="http://schemas.openxmlformats.org/officeDocument/2006/relationships/hyperlink" Target="mailto:coneal@sandi.net" TargetMode="External"/><Relationship Id="rId62" Type="http://schemas.openxmlformats.org/officeDocument/2006/relationships/hyperlink" Target="mailto:bmartinez@sandi.net" TargetMode="External"/><Relationship Id="rId61" Type="http://schemas.openxmlformats.org/officeDocument/2006/relationships/hyperlink" Target="mailto:rlynch1@sandi.net" TargetMode="External"/><Relationship Id="rId64" Type="http://schemas.openxmlformats.org/officeDocument/2006/relationships/hyperlink" Target="mailto:tmaxwell@sandi.net" TargetMode="External"/><Relationship Id="rId63" Type="http://schemas.openxmlformats.org/officeDocument/2006/relationships/hyperlink" Target="mailto:bmartinez@sandi.net" TargetMode="External"/><Relationship Id="rId66" Type="http://schemas.openxmlformats.org/officeDocument/2006/relationships/hyperlink" Target="mailto:kmcdonnell@sandi.net" TargetMode="External"/><Relationship Id="rId65" Type="http://schemas.openxmlformats.org/officeDocument/2006/relationships/hyperlink" Target="mailto:tmaxwell@sandi.net" TargetMode="External"/><Relationship Id="rId68" Type="http://schemas.openxmlformats.org/officeDocument/2006/relationships/hyperlink" Target="mailto:cmikamo@sandi.net" TargetMode="External"/><Relationship Id="rId67" Type="http://schemas.openxmlformats.org/officeDocument/2006/relationships/hyperlink" Target="mailto:npeterson@sandi.net" TargetMode="External"/><Relationship Id="rId60" Type="http://schemas.openxmlformats.org/officeDocument/2006/relationships/hyperlink" Target="mailto:lloyce@sandi.net" TargetMode="External"/><Relationship Id="rId69" Type="http://schemas.openxmlformats.org/officeDocument/2006/relationships/hyperlink" Target="mailto:mnegrete@sandi.net" TargetMode="External"/><Relationship Id="rId51" Type="http://schemas.openxmlformats.org/officeDocument/2006/relationships/hyperlink" Target="mailto:cbrownell@sandi.net" TargetMode="External"/><Relationship Id="rId50" Type="http://schemas.openxmlformats.org/officeDocument/2006/relationships/hyperlink" Target="mailto:dknack@sandi.ent" TargetMode="External"/><Relationship Id="rId53" Type="http://schemas.openxmlformats.org/officeDocument/2006/relationships/hyperlink" Target="mailto:jlanigan@sandi.net" TargetMode="External"/><Relationship Id="rId52" Type="http://schemas.openxmlformats.org/officeDocument/2006/relationships/hyperlink" Target="mailto:cbrownell@sandi.net" TargetMode="External"/><Relationship Id="rId55" Type="http://schemas.openxmlformats.org/officeDocument/2006/relationships/hyperlink" Target="mailto:llehman@sandi.net" TargetMode="External"/><Relationship Id="rId54" Type="http://schemas.openxmlformats.org/officeDocument/2006/relationships/hyperlink" Target="mailto:tjohanson@sandi.net" TargetMode="External"/><Relationship Id="rId57" Type="http://schemas.openxmlformats.org/officeDocument/2006/relationships/hyperlink" Target="mailto:alopez@sandi.net" TargetMode="External"/><Relationship Id="rId56" Type="http://schemas.openxmlformats.org/officeDocument/2006/relationships/hyperlink" Target="mailto:klochner@sandi.net" TargetMode="External"/><Relationship Id="rId59" Type="http://schemas.openxmlformats.org/officeDocument/2006/relationships/hyperlink" Target="mailto:rlovato@sandi.net" TargetMode="External"/><Relationship Id="rId58" Type="http://schemas.openxmlformats.org/officeDocument/2006/relationships/hyperlink" Target="mailto:alopez3@sandi.ne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mhirsch@sandi.net" TargetMode="External"/><Relationship Id="rId42" Type="http://schemas.openxmlformats.org/officeDocument/2006/relationships/hyperlink" Target="mailto:rjackson2@sandi.net" TargetMode="External"/><Relationship Id="rId41" Type="http://schemas.openxmlformats.org/officeDocument/2006/relationships/hyperlink" Target="https://www.sandiegounified.org/schools/madison/welcome-77" TargetMode="External"/><Relationship Id="rId44" Type="http://schemas.openxmlformats.org/officeDocument/2006/relationships/hyperlink" Target="mailto:djune@sandi.net" TargetMode="External"/><Relationship Id="rId43" Type="http://schemas.openxmlformats.org/officeDocument/2006/relationships/hyperlink" Target="https://www.sandiegounified.org/schools/madison/welcome-11" TargetMode="External"/><Relationship Id="rId46" Type="http://schemas.openxmlformats.org/officeDocument/2006/relationships/hyperlink" Target="mailto:ckiyama@sandi.net" TargetMode="External"/><Relationship Id="rId45" Type="http://schemas.openxmlformats.org/officeDocument/2006/relationships/hyperlink" Target="https://www.sandiegounified.org/schools/madison/welcome-92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mailto:czoltan@sandi.net" TargetMode="External"/><Relationship Id="rId104" Type="http://schemas.openxmlformats.org/officeDocument/2006/relationships/hyperlink" Target="https://www.sandiegounified.org/schools/madison/welcome-67" TargetMode="External"/><Relationship Id="rId48" Type="http://schemas.openxmlformats.org/officeDocument/2006/relationships/hyperlink" Target="mailto:klochner@sandi.net" TargetMode="External"/><Relationship Id="rId47" Type="http://schemas.openxmlformats.org/officeDocument/2006/relationships/hyperlink" Target="https://www.sandiegounified.org/schools/madison/welcome-108" TargetMode="External"/><Relationship Id="rId49" Type="http://schemas.openxmlformats.org/officeDocument/2006/relationships/hyperlink" Target="https://www.sandiegounified.org/schools/madison/welcome-81" TargetMode="External"/><Relationship Id="rId103" Type="http://schemas.openxmlformats.org/officeDocument/2006/relationships/hyperlink" Target="mailto:gwall@sandi.net" TargetMode="External"/><Relationship Id="rId102" Type="http://schemas.openxmlformats.org/officeDocument/2006/relationships/hyperlink" Target="https://www.sandiegounified.org/schools/madison/welcome-101" TargetMode="External"/><Relationship Id="rId101" Type="http://schemas.openxmlformats.org/officeDocument/2006/relationships/hyperlink" Target="mailto:culibarri@sandi.net" TargetMode="External"/><Relationship Id="rId100" Type="http://schemas.openxmlformats.org/officeDocument/2006/relationships/hyperlink" Target="https://www.sandiegounified.org/schools/madison/welcome-73" TargetMode="External"/><Relationship Id="rId31" Type="http://schemas.openxmlformats.org/officeDocument/2006/relationships/hyperlink" Target="https://www.sandiegounified.org/schools/madison/welcome-27" TargetMode="External"/><Relationship Id="rId30" Type="http://schemas.openxmlformats.org/officeDocument/2006/relationships/hyperlink" Target="mailto:mfalvo@sandi.net" TargetMode="External"/><Relationship Id="rId33" Type="http://schemas.openxmlformats.org/officeDocument/2006/relationships/hyperlink" Target="https://www.sandiegounified.org/schools/madison/welcome-102" TargetMode="External"/><Relationship Id="rId32" Type="http://schemas.openxmlformats.org/officeDocument/2006/relationships/hyperlink" Target="mailto:lreeves@sandi.net" TargetMode="External"/><Relationship Id="rId35" Type="http://schemas.openxmlformats.org/officeDocument/2006/relationships/hyperlink" Target="https://www.sandiegounified.org/schools/madison/welcome-79" TargetMode="External"/><Relationship Id="rId34" Type="http://schemas.openxmlformats.org/officeDocument/2006/relationships/hyperlink" Target="mailto:mgross@sandi.net" TargetMode="External"/><Relationship Id="rId37" Type="http://schemas.openxmlformats.org/officeDocument/2006/relationships/hyperlink" Target="https://www.sandiegounified.org/schools/madison/welcome-70" TargetMode="External"/><Relationship Id="rId36" Type="http://schemas.openxmlformats.org/officeDocument/2006/relationships/hyperlink" Target="mailto:mhead@sandi.net" TargetMode="External"/><Relationship Id="rId39" Type="http://schemas.openxmlformats.org/officeDocument/2006/relationships/hyperlink" Target="https://www.sandiegounified.org/schools/madison/welcome-100" TargetMode="External"/><Relationship Id="rId38" Type="http://schemas.openxmlformats.org/officeDocument/2006/relationships/hyperlink" Target="mailto:lhedley@sandi.net" TargetMode="External"/><Relationship Id="rId20" Type="http://schemas.openxmlformats.org/officeDocument/2006/relationships/hyperlink" Target="mailto:cchizmar@sandi.net" TargetMode="External"/><Relationship Id="rId22" Type="http://schemas.openxmlformats.org/officeDocument/2006/relationships/hyperlink" Target="mailto:kcoelho@sandi.net" TargetMode="External"/><Relationship Id="rId21" Type="http://schemas.openxmlformats.org/officeDocument/2006/relationships/hyperlink" Target="https://www.sandiegounified.org/schools/madison/welcome-75" TargetMode="External"/><Relationship Id="rId24" Type="http://schemas.openxmlformats.org/officeDocument/2006/relationships/hyperlink" Target="mailto:dcrowle@sandi.net" TargetMode="External"/><Relationship Id="rId23" Type="http://schemas.openxmlformats.org/officeDocument/2006/relationships/hyperlink" Target="https://www.sandiegounified.org/schools/madison/welcome-87" TargetMode="External"/><Relationship Id="rId26" Type="http://schemas.openxmlformats.org/officeDocument/2006/relationships/hyperlink" Target="mailto:wcunningham@sandi.net" TargetMode="External"/><Relationship Id="rId25" Type="http://schemas.openxmlformats.org/officeDocument/2006/relationships/hyperlink" Target="https://www.sandiegounified.org/schools/madison/welcome-98" TargetMode="External"/><Relationship Id="rId28" Type="http://schemas.openxmlformats.org/officeDocument/2006/relationships/hyperlink" Target="mailto:tduncan@sandi.net" TargetMode="External"/><Relationship Id="rId27" Type="http://schemas.openxmlformats.org/officeDocument/2006/relationships/hyperlink" Target="https://www.sandiegounified.org/schools/madison/welcome-6" TargetMode="External"/><Relationship Id="rId29" Type="http://schemas.openxmlformats.org/officeDocument/2006/relationships/hyperlink" Target="https://www.sandiegounified.org/schools/madison/welcome-82" TargetMode="External"/><Relationship Id="rId95" Type="http://schemas.openxmlformats.org/officeDocument/2006/relationships/hyperlink" Target="mailto:jstrukel@sandi.net" TargetMode="External"/><Relationship Id="rId94" Type="http://schemas.openxmlformats.org/officeDocument/2006/relationships/hyperlink" Target="https://www.sandiegounified.org/schools/madison/welcome-74" TargetMode="External"/><Relationship Id="rId97" Type="http://schemas.openxmlformats.org/officeDocument/2006/relationships/hyperlink" Target="mailto:mstutz@sandi.net" TargetMode="External"/><Relationship Id="rId96" Type="http://schemas.openxmlformats.org/officeDocument/2006/relationships/hyperlink" Target="https://www.sandiegounified.org/schools/madison/welcome-94" TargetMode="External"/><Relationship Id="rId11" Type="http://schemas.openxmlformats.org/officeDocument/2006/relationships/hyperlink" Target="https://www.sandiegounified.org/schools/madison/welcome-103" TargetMode="External"/><Relationship Id="rId99" Type="http://schemas.openxmlformats.org/officeDocument/2006/relationships/hyperlink" Target="mailto:jtritchler@sandi.net" TargetMode="External"/><Relationship Id="rId10" Type="http://schemas.openxmlformats.org/officeDocument/2006/relationships/hyperlink" Target="mailto:wbishop@sandi.net" TargetMode="External"/><Relationship Id="rId98" Type="http://schemas.openxmlformats.org/officeDocument/2006/relationships/hyperlink" Target="https://www.sandiegounified.org/schools/madison/welcome-88" TargetMode="External"/><Relationship Id="rId13" Type="http://schemas.openxmlformats.org/officeDocument/2006/relationships/hyperlink" Target="https://www.sandiegounified.org/schools/madison/welcome-97" TargetMode="External"/><Relationship Id="rId12" Type="http://schemas.openxmlformats.org/officeDocument/2006/relationships/hyperlink" Target="mailto:jbrooks@sandi.net" TargetMode="External"/><Relationship Id="rId91" Type="http://schemas.openxmlformats.org/officeDocument/2006/relationships/hyperlink" Target="mailto:tstaninger@sandi.net" TargetMode="External"/><Relationship Id="rId90" Type="http://schemas.openxmlformats.org/officeDocument/2006/relationships/hyperlink" Target="https://www.sandiegounified.org/schools/madison/welcome-66" TargetMode="External"/><Relationship Id="rId93" Type="http://schemas.openxmlformats.org/officeDocument/2006/relationships/hyperlink" Target="mailto:bstout@sandi.net" TargetMode="External"/><Relationship Id="rId92" Type="http://schemas.openxmlformats.org/officeDocument/2006/relationships/hyperlink" Target="https://www.sandiegounified.org/schools/madison/welcome-93" TargetMode="External"/><Relationship Id="rId15" Type="http://schemas.openxmlformats.org/officeDocument/2006/relationships/hyperlink" Target="https://www.sandiegounified.org/schools/madison/welcome-84" TargetMode="External"/><Relationship Id="rId14" Type="http://schemas.openxmlformats.org/officeDocument/2006/relationships/hyperlink" Target="mailto:mcampisano@sandi.net" TargetMode="External"/><Relationship Id="rId17" Type="http://schemas.openxmlformats.org/officeDocument/2006/relationships/hyperlink" Target="https://www.sandiegounified.org/schools/madison/welcome-69" TargetMode="External"/><Relationship Id="rId16" Type="http://schemas.openxmlformats.org/officeDocument/2006/relationships/hyperlink" Target="mailto:wchase@sandi.net" TargetMode="External"/><Relationship Id="rId19" Type="http://schemas.openxmlformats.org/officeDocument/2006/relationships/hyperlink" Target="https://www.sandiegounified.org/schools/madison/welcome-91" TargetMode="External"/><Relationship Id="rId18" Type="http://schemas.openxmlformats.org/officeDocument/2006/relationships/hyperlink" Target="mailto:nchen@sandi.net" TargetMode="External"/><Relationship Id="rId84" Type="http://schemas.openxmlformats.org/officeDocument/2006/relationships/hyperlink" Target="https://www.sandiegounified.org/schools/madison/welcome-60" TargetMode="External"/><Relationship Id="rId83" Type="http://schemas.openxmlformats.org/officeDocument/2006/relationships/hyperlink" Target="mailto:asilvels@sandi.net" TargetMode="External"/><Relationship Id="rId86" Type="http://schemas.openxmlformats.org/officeDocument/2006/relationships/hyperlink" Target="https://www.sandiegounified.org/schools/madison/welcome-83" TargetMode="External"/><Relationship Id="rId85" Type="http://schemas.openxmlformats.org/officeDocument/2006/relationships/hyperlink" Target="mailto:bsiracusa@sandi.net" TargetMode="External"/><Relationship Id="rId88" Type="http://schemas.openxmlformats.org/officeDocument/2006/relationships/hyperlink" Target="https://www.sandiegounified.org/schools/madison/welcome-71" TargetMode="External"/><Relationship Id="rId87" Type="http://schemas.openxmlformats.org/officeDocument/2006/relationships/hyperlink" Target="mailto:asmith@sandi.net" TargetMode="External"/><Relationship Id="rId89" Type="http://schemas.openxmlformats.org/officeDocument/2006/relationships/hyperlink" Target="mailto:tsneddon@sandi.net" TargetMode="External"/><Relationship Id="rId80" Type="http://schemas.openxmlformats.org/officeDocument/2006/relationships/hyperlink" Target="https://www.sandiegounified.org/schools/madison/welcome-86" TargetMode="External"/><Relationship Id="rId82" Type="http://schemas.openxmlformats.org/officeDocument/2006/relationships/hyperlink" Target="https://www.sandiegounified.org/schools/madison/welcome-106" TargetMode="External"/><Relationship Id="rId81" Type="http://schemas.openxmlformats.org/officeDocument/2006/relationships/hyperlink" Target="mailto:osevillajr@sandi.net" TargetMode="External"/><Relationship Id="rId1" Type="http://schemas.openxmlformats.org/officeDocument/2006/relationships/hyperlink" Target="https://www.sandiegounified.org/schools/madison/welcome-110" TargetMode="External"/><Relationship Id="rId2" Type="http://schemas.openxmlformats.org/officeDocument/2006/relationships/hyperlink" Target="mailto:pabrahamson@sandi.net" TargetMode="External"/><Relationship Id="rId3" Type="http://schemas.openxmlformats.org/officeDocument/2006/relationships/hyperlink" Target="https://www.sandiegounified.org/schools/madison/welcome-1" TargetMode="External"/><Relationship Id="rId4" Type="http://schemas.openxmlformats.org/officeDocument/2006/relationships/hyperlink" Target="mailto:jbarker@sandi.net" TargetMode="External"/><Relationship Id="rId9" Type="http://schemas.openxmlformats.org/officeDocument/2006/relationships/hyperlink" Target="https://www.sandiegounified.org/schools/madison/welcome-78" TargetMode="External"/><Relationship Id="rId5" Type="http://schemas.openxmlformats.org/officeDocument/2006/relationships/hyperlink" Target="https://www.sandiegounified.org/schools/madison/welcome-99" TargetMode="External"/><Relationship Id="rId6" Type="http://schemas.openxmlformats.org/officeDocument/2006/relationships/hyperlink" Target="mailto:mbarrett@sandi.net" TargetMode="External"/><Relationship Id="rId7" Type="http://schemas.openxmlformats.org/officeDocument/2006/relationships/hyperlink" Target="https://www.sandiegounified.org/schools/madison/welcome-90" TargetMode="External"/><Relationship Id="rId8" Type="http://schemas.openxmlformats.org/officeDocument/2006/relationships/hyperlink" Target="mailto:ebement@sandi.net" TargetMode="External"/><Relationship Id="rId73" Type="http://schemas.openxmlformats.org/officeDocument/2006/relationships/hyperlink" Target="mailto:wrabinowitz@sandi.net" TargetMode="External"/><Relationship Id="rId72" Type="http://schemas.openxmlformats.org/officeDocument/2006/relationships/hyperlink" Target="https://www.sandiegounified.org/schools/madison/welcome-105" TargetMode="External"/><Relationship Id="rId75" Type="http://schemas.openxmlformats.org/officeDocument/2006/relationships/hyperlink" Target="mailto:mrogers2@sandi.net" TargetMode="External"/><Relationship Id="rId74" Type="http://schemas.openxmlformats.org/officeDocument/2006/relationships/hyperlink" Target="https://www.sandiegounified.org/schools/madison/welcome-80" TargetMode="External"/><Relationship Id="rId77" Type="http://schemas.openxmlformats.org/officeDocument/2006/relationships/hyperlink" Target="mailto:crucobo@sandi.net" TargetMode="External"/><Relationship Id="rId76" Type="http://schemas.openxmlformats.org/officeDocument/2006/relationships/hyperlink" Target="https://www.sandiegounified.org/schools/madison/welcome-85" TargetMode="External"/><Relationship Id="rId79" Type="http://schemas.openxmlformats.org/officeDocument/2006/relationships/hyperlink" Target="mailto:nschulz@sandi.net" TargetMode="External"/><Relationship Id="rId78" Type="http://schemas.openxmlformats.org/officeDocument/2006/relationships/hyperlink" Target="https://www.sandiegounified.org/schools/madison/welcome-107" TargetMode="External"/><Relationship Id="rId71" Type="http://schemas.openxmlformats.org/officeDocument/2006/relationships/hyperlink" Target="mailto:pquiroz@sandi.net" TargetMode="External"/><Relationship Id="rId70" Type="http://schemas.openxmlformats.org/officeDocument/2006/relationships/hyperlink" Target="https://www.sandiegounified.org/schools/madison/welcome-95" TargetMode="External"/><Relationship Id="rId62" Type="http://schemas.openxmlformats.org/officeDocument/2006/relationships/hyperlink" Target="https://www.sandiegounified.org/schools/madison/welcome-104" TargetMode="External"/><Relationship Id="rId61" Type="http://schemas.openxmlformats.org/officeDocument/2006/relationships/hyperlink" Target="mailto:cmikamo@sandi.net" TargetMode="External"/><Relationship Id="rId64" Type="http://schemas.openxmlformats.org/officeDocument/2006/relationships/hyperlink" Target="https://www.sandiegounified.org/schools/madison/welcome-109" TargetMode="External"/><Relationship Id="rId63" Type="http://schemas.openxmlformats.org/officeDocument/2006/relationships/hyperlink" Target="mailto:mnegrete@sandi.net" TargetMode="External"/><Relationship Id="rId66" Type="http://schemas.openxmlformats.org/officeDocument/2006/relationships/hyperlink" Target="https://www.sandiegounified.org/schools/madison/welcome-89" TargetMode="External"/><Relationship Id="rId65" Type="http://schemas.openxmlformats.org/officeDocument/2006/relationships/hyperlink" Target="mailto:coneal@sandi.net" TargetMode="External"/><Relationship Id="rId68" Type="http://schemas.openxmlformats.org/officeDocument/2006/relationships/hyperlink" Target="https://www.sandiegounified.org/schools/madison/welcome-111" TargetMode="External"/><Relationship Id="rId67" Type="http://schemas.openxmlformats.org/officeDocument/2006/relationships/hyperlink" Target="mailto:goberle@sandi.net" TargetMode="External"/><Relationship Id="rId60" Type="http://schemas.openxmlformats.org/officeDocument/2006/relationships/hyperlink" Target="https://www.sandiegounified.org/schools/madison/welcome-72" TargetMode="External"/><Relationship Id="rId69" Type="http://schemas.openxmlformats.org/officeDocument/2006/relationships/hyperlink" Target="mailto:spennefather@sandi.net" TargetMode="External"/><Relationship Id="rId51" Type="http://schemas.openxmlformats.org/officeDocument/2006/relationships/hyperlink" Target="https://www.sandiegounified.org/schools/madison/welcome-76" TargetMode="External"/><Relationship Id="rId50" Type="http://schemas.openxmlformats.org/officeDocument/2006/relationships/hyperlink" Target="mailto:rlovato@sandi.net" TargetMode="External"/><Relationship Id="rId53" Type="http://schemas.openxmlformats.org/officeDocument/2006/relationships/hyperlink" Target="https://www.sandiegounified.org/schools/madison/welcome-96" TargetMode="External"/><Relationship Id="rId52" Type="http://schemas.openxmlformats.org/officeDocument/2006/relationships/hyperlink" Target="mailto:lloyce@sandi.net" TargetMode="External"/><Relationship Id="rId55" Type="http://schemas.openxmlformats.org/officeDocument/2006/relationships/hyperlink" Target="mailto:tmaxwell@sandi.net" TargetMode="External"/><Relationship Id="rId54" Type="http://schemas.openxmlformats.org/officeDocument/2006/relationships/hyperlink" Target="mailto:rlynch1@sandi.net" TargetMode="External"/><Relationship Id="rId57" Type="http://schemas.openxmlformats.org/officeDocument/2006/relationships/hyperlink" Target="mailto:kmcdonnell@sandi.net" TargetMode="External"/><Relationship Id="rId56" Type="http://schemas.openxmlformats.org/officeDocument/2006/relationships/hyperlink" Target="https://www.sandiegounified.org/schools/madison/welcome-68" TargetMode="External"/><Relationship Id="rId59" Type="http://schemas.openxmlformats.org/officeDocument/2006/relationships/hyperlink" Target="mailto:npeterson@sandi.net" TargetMode="External"/><Relationship Id="rId58" Type="http://schemas.openxmlformats.org/officeDocument/2006/relationships/hyperlink" Target="https://www.sandiegounified.org/schools/madison/welcome-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2.0"/>
    <col customWidth="1" min="3" max="3" width="24.14"/>
    <col customWidth="1" min="4" max="4" width="19.29"/>
    <col customWidth="1" min="5" max="5" width="23.43"/>
    <col customWidth="1" min="6" max="25" width="8.86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4" t="str">
        <f>HYPERLINK("https://www.sandiegounified.org/schools/madison/welcome-110","Abrahamson, Paul")</f>
        <v>Abrahamson, Paul</v>
      </c>
      <c r="C2" s="5" t="s">
        <v>4</v>
      </c>
      <c r="D2" s="6">
        <v>3046.0</v>
      </c>
      <c r="E2" s="7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5" t="s">
        <v>6</v>
      </c>
      <c r="C3" s="8"/>
      <c r="D3" s="6">
        <v>3032.0</v>
      </c>
      <c r="E3" s="7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 t="s">
        <v>8</v>
      </c>
      <c r="C4" s="8"/>
      <c r="D4" s="6">
        <v>3041.0</v>
      </c>
      <c r="E4" s="7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9" t="s">
        <v>10</v>
      </c>
      <c r="C5" s="8"/>
      <c r="D5" s="10" t="s">
        <v>11</v>
      </c>
      <c r="E5" s="9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1" t="s">
        <v>13</v>
      </c>
      <c r="C6" s="10" t="s">
        <v>14</v>
      </c>
      <c r="D6" s="12">
        <v>3035.0</v>
      </c>
      <c r="E6" s="9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3" t="str">
        <f>HYPERLINK("https://www.sandiegounified.org/schools/madison/welcome-1","Barker, Jaime")</f>
        <v>Barker, Jaime</v>
      </c>
      <c r="C7" s="5" t="s">
        <v>16</v>
      </c>
      <c r="D7" s="6">
        <v>2701.0</v>
      </c>
      <c r="E7" s="7" t="s">
        <v>17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" t="str">
        <f>HYPERLINK("https://www.sandiegounified.org/schools/madison/welcome-99","Barrett, Monique")</f>
        <v>Barrett, Monique</v>
      </c>
      <c r="C8" s="5" t="s">
        <v>18</v>
      </c>
      <c r="D8" s="6">
        <v>2196.0</v>
      </c>
      <c r="E8" s="7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" t="str">
        <f>HYPERLINK("https://www.sandiegounified.org/schools/madison/welcome-78","Bishop, Bill")</f>
        <v>Bishop, Bill</v>
      </c>
      <c r="C9" s="5" t="s">
        <v>20</v>
      </c>
      <c r="D9" s="6">
        <v>2207.0</v>
      </c>
      <c r="E9" s="7" t="s">
        <v>21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5" t="s">
        <v>22</v>
      </c>
      <c r="C10" s="5" t="s">
        <v>23</v>
      </c>
      <c r="D10" s="6">
        <v>2093.0</v>
      </c>
      <c r="E10" s="7" t="s">
        <v>24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4" t="s">
        <v>25</v>
      </c>
      <c r="C11" s="5" t="s">
        <v>26</v>
      </c>
      <c r="D11" s="6">
        <v>3084.0</v>
      </c>
      <c r="E11" s="7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4" t="str">
        <f>HYPERLINK("https://www.sandiegounified.org/schools/madison/welcome-103","Brooks, John ")</f>
        <v>Brooks, John </v>
      </c>
      <c r="C12" s="5" t="s">
        <v>28</v>
      </c>
      <c r="D12" s="15" t="s">
        <v>29</v>
      </c>
      <c r="E12" s="7" t="s">
        <v>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4" t="s">
        <v>31</v>
      </c>
      <c r="C13" s="5" t="s">
        <v>32</v>
      </c>
      <c r="D13" s="6">
        <v>2011.0</v>
      </c>
      <c r="E13" s="7" t="s">
        <v>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" t="str">
        <f>HYPERLINK("https://www.sandiegounified.org/schools/madison/welcome-97","Campisano, Madeline")</f>
        <v>Campisano, Madeline</v>
      </c>
      <c r="C14" s="5" t="s">
        <v>34</v>
      </c>
      <c r="D14" s="6">
        <v>2102.0</v>
      </c>
      <c r="E14" s="7" t="s">
        <v>35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4" t="s">
        <v>36</v>
      </c>
      <c r="C15" s="5" t="s">
        <v>37</v>
      </c>
      <c r="D15" s="6">
        <v>3038.0</v>
      </c>
      <c r="E15" s="7" t="s">
        <v>38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4" t="s">
        <v>39</v>
      </c>
      <c r="C16" s="5" t="s">
        <v>40</v>
      </c>
      <c r="D16" s="6">
        <v>3020.0</v>
      </c>
      <c r="E16" s="7" t="s">
        <v>41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" t="str">
        <f>HYPERLINK("https://www.sandiegounified.org/schools/madison/welcome-84","Chase, Whitney")</f>
        <v>Chase, Whitney</v>
      </c>
      <c r="C17" s="5" t="s">
        <v>42</v>
      </c>
      <c r="D17" s="6">
        <v>2108.0</v>
      </c>
      <c r="E17" s="7" t="s">
        <v>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" t="str">
        <f>HYPERLINK("https://www.sandiegounified.org/schools/madison/welcome-69","Chen, Ni Kon")</f>
        <v>Chen, Ni Kon</v>
      </c>
      <c r="C18" s="5" t="s">
        <v>44</v>
      </c>
      <c r="D18" s="6">
        <v>2209.0</v>
      </c>
      <c r="E18" s="7" t="s">
        <v>45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" t="str">
        <f>HYPERLINK("https://www.sandiegounified.org/schools/madison/welcome-91","Chizmar, Cailyn")</f>
        <v>Chizmar, Cailyn</v>
      </c>
      <c r="C19" s="5" t="s">
        <v>46</v>
      </c>
      <c r="D19" s="6">
        <v>2307.0</v>
      </c>
      <c r="E19" s="7" t="s">
        <v>47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" t="str">
        <f>HYPERLINK("https://www.sandiegounified.org/schools/madison/welcome-98","Cunningham, William")</f>
        <v>Cunningham, William</v>
      </c>
      <c r="C20" s="5" t="s">
        <v>18</v>
      </c>
      <c r="D20" s="6">
        <v>2204.0</v>
      </c>
      <c r="E20" s="7" t="s">
        <v>48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4" t="s">
        <v>49</v>
      </c>
      <c r="C21" s="5" t="s">
        <v>50</v>
      </c>
      <c r="D21" s="6">
        <v>2406.0</v>
      </c>
      <c r="E21" s="7" t="s">
        <v>51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" t="str">
        <f>HYPERLINK("https://www.sandiegounified.org/schools/madison/welcome-6","Duncan, Tamara")</f>
        <v>Duncan, Tamara</v>
      </c>
      <c r="C22" s="5" t="s">
        <v>16</v>
      </c>
      <c r="D22" s="6">
        <v>3069.0</v>
      </c>
      <c r="E22" s="7" t="s">
        <v>52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4" t="s">
        <v>53</v>
      </c>
      <c r="C23" s="5" t="s">
        <v>54</v>
      </c>
      <c r="D23" s="6">
        <v>3065.0</v>
      </c>
      <c r="E23" s="7" t="s">
        <v>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4" t="str">
        <f>HYPERLINK("https://www.sandiegounified.org/schools/madison/welcome-82","Falvo, Mark")</f>
        <v>Falvo, Mark</v>
      </c>
      <c r="C24" s="5" t="s">
        <v>20</v>
      </c>
      <c r="D24" s="6">
        <v>2203.0</v>
      </c>
      <c r="E24" s="7" t="s">
        <v>56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4" t="s">
        <v>57</v>
      </c>
      <c r="C25" s="5" t="s">
        <v>58</v>
      </c>
      <c r="D25" s="6">
        <v>3040.0</v>
      </c>
      <c r="E25" s="7" t="s">
        <v>59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4" t="s">
        <v>60</v>
      </c>
      <c r="C26" s="5" t="s">
        <v>61</v>
      </c>
      <c r="D26" s="6">
        <v>3037.0</v>
      </c>
      <c r="E26" s="7" t="s">
        <v>62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4" t="str">
        <f>HYPERLINK("https://www.sandiegounified.org/schools/madison/welcome-27","Fuller, Lili R")</f>
        <v>Fuller, Lili R</v>
      </c>
      <c r="C27" s="5" t="s">
        <v>63</v>
      </c>
      <c r="D27" s="6">
        <v>2210.0</v>
      </c>
      <c r="E27" s="7" t="s">
        <v>64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4" t="s">
        <v>65</v>
      </c>
      <c r="C28" s="5" t="s">
        <v>66</v>
      </c>
      <c r="D28" s="6">
        <v>3022.0</v>
      </c>
      <c r="E28" s="7" t="s">
        <v>67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4" t="s">
        <v>68</v>
      </c>
      <c r="C29" s="5" t="s">
        <v>69</v>
      </c>
      <c r="D29" s="6">
        <v>2412.0</v>
      </c>
      <c r="E29" s="7" t="s">
        <v>70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4" t="str">
        <f>HYPERLINK("https://www.sandiegounified.org/schools/madison/welcome-102","Gross, Mary Ann")</f>
        <v>Gross, Mary Ann</v>
      </c>
      <c r="C30" s="5" t="s">
        <v>28</v>
      </c>
      <c r="D30" s="6">
        <v>2098.0</v>
      </c>
      <c r="E30" s="7" t="s">
        <v>71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4" t="s">
        <v>72</v>
      </c>
      <c r="C31" s="5" t="s">
        <v>73</v>
      </c>
      <c r="D31" s="6">
        <v>3034.0</v>
      </c>
      <c r="E31" s="7" t="s">
        <v>74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4" t="s">
        <v>75</v>
      </c>
      <c r="C32" s="5" t="s">
        <v>76</v>
      </c>
      <c r="D32" s="6">
        <v>3050.0</v>
      </c>
      <c r="E32" s="7" t="s">
        <v>77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4" t="str">
        <f>HYPERLINK("https://www.sandiegounified.org/schools/madison/welcome-79","Head, Marian")</f>
        <v>Head, Marian</v>
      </c>
      <c r="C33" s="5" t="s">
        <v>20</v>
      </c>
      <c r="D33" s="6">
        <v>2501.0</v>
      </c>
      <c r="E33" s="7" t="s">
        <v>78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4" t="str">
        <f>HYPERLINK("https://www.sandiegounified.org/schools/madison/welcome-70","Hedley, Linnette")</f>
        <v>Hedley, Linnette</v>
      </c>
      <c r="C34" s="5" t="s">
        <v>79</v>
      </c>
      <c r="D34" s="6">
        <v>2806.0</v>
      </c>
      <c r="E34" s="7" t="s">
        <v>80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4" t="str">
        <f>HYPERLINK("https://www.sandiegounified.org/schools/madison/welcome-100","Hirsch, Miles")</f>
        <v>Hirsch, Miles</v>
      </c>
      <c r="C35" s="5" t="s">
        <v>81</v>
      </c>
      <c r="D35" s="6">
        <v>2195.0</v>
      </c>
      <c r="E35" s="7" t="s">
        <v>82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4" t="str">
        <f>HYPERLINK("https://www.sandiegounified.org/schools/madison/welcome-77","Jackson, Rick")</f>
        <v>Jackson, Rick</v>
      </c>
      <c r="C36" s="5" t="s">
        <v>83</v>
      </c>
      <c r="D36" s="6">
        <v>3041.0</v>
      </c>
      <c r="E36" s="7" t="s">
        <v>84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6" t="s">
        <v>85</v>
      </c>
      <c r="C37" s="17" t="s">
        <v>86</v>
      </c>
      <c r="D37" s="6"/>
      <c r="E37" s="13" t="s">
        <v>87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5" t="s">
        <v>88</v>
      </c>
      <c r="C38" s="8"/>
      <c r="D38" s="6">
        <v>3048.0</v>
      </c>
      <c r="E38" s="7" t="s">
        <v>89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4" t="str">
        <f>HYPERLINK("https://www.sandiegounified.org/schools/madison/welcome-92","Kiyama, Christine")</f>
        <v>Kiyama, Christine</v>
      </c>
      <c r="C39" s="5" t="s">
        <v>46</v>
      </c>
      <c r="D39" s="6">
        <v>2311.0</v>
      </c>
      <c r="E39" s="7" t="s">
        <v>90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4" t="s">
        <v>91</v>
      </c>
      <c r="C40" s="5" t="s">
        <v>92</v>
      </c>
      <c r="D40" s="6">
        <v>2409.0</v>
      </c>
      <c r="E40" s="7" t="s">
        <v>93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4" t="s">
        <v>94</v>
      </c>
      <c r="C41" s="5" t="s">
        <v>95</v>
      </c>
      <c r="D41" s="6">
        <v>2092.0</v>
      </c>
      <c r="E41" s="7" t="s">
        <v>96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4" t="s">
        <v>97</v>
      </c>
      <c r="C42" s="5" t="s">
        <v>98</v>
      </c>
      <c r="D42" s="6">
        <v>3065.0</v>
      </c>
      <c r="E42" s="7" t="s">
        <v>99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4" t="s">
        <v>100</v>
      </c>
      <c r="C43" s="5" t="s">
        <v>101</v>
      </c>
      <c r="D43" s="6">
        <v>3043.0</v>
      </c>
      <c r="E43" s="7" t="s">
        <v>102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4" t="str">
        <f>HYPERLINK("https://www.sandiegounified.org/schools/madison/welcome-108","Lochner, Keith")</f>
        <v>Lochner, Keith</v>
      </c>
      <c r="C44" s="5" t="s">
        <v>103</v>
      </c>
      <c r="D44" s="6">
        <v>3048.0</v>
      </c>
      <c r="E44" s="7" t="s">
        <v>104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4" t="s">
        <v>105</v>
      </c>
      <c r="C45" s="5" t="s">
        <v>106</v>
      </c>
      <c r="D45" s="6">
        <v>3010.0</v>
      </c>
      <c r="E45" s="7" t="s">
        <v>107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8" t="str">
        <f>HYPERLINK("https://www.sandiegounified.org/schools/madison/welcome-81","Lovato, Robert")</f>
        <v>Lovato, Robert</v>
      </c>
      <c r="C46" s="5" t="s">
        <v>20</v>
      </c>
      <c r="D46" s="6">
        <v>3082.0</v>
      </c>
      <c r="E46" s="7" t="s">
        <v>108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4" t="str">
        <f>HYPERLINK("https://www.sandiegounified.org/schools/madison/welcome-76","Loyce, Lorrie")</f>
        <v>Loyce, Lorrie</v>
      </c>
      <c r="C47" s="5" t="s">
        <v>109</v>
      </c>
      <c r="D47" s="6">
        <v>2900.0</v>
      </c>
      <c r="E47" s="7" t="s">
        <v>110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4" t="str">
        <f>HYPERLINK("https://www.sandiegounified.org/schools/madison/welcome-96","Lynch, Robert")</f>
        <v>Lynch, Robert</v>
      </c>
      <c r="C48" s="5" t="s">
        <v>18</v>
      </c>
      <c r="D48" s="6">
        <v>2306.0</v>
      </c>
      <c r="E48" s="7" t="s">
        <v>111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4" t="s">
        <v>112</v>
      </c>
      <c r="C49" s="5" t="s">
        <v>113</v>
      </c>
      <c r="D49" s="6">
        <v>2202.0</v>
      </c>
      <c r="E49" s="7" t="s">
        <v>114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9" t="s">
        <v>115</v>
      </c>
      <c r="C50" s="5" t="s">
        <v>116</v>
      </c>
      <c r="D50" s="15" t="s">
        <v>117</v>
      </c>
      <c r="E50" s="7" t="s">
        <v>118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4" t="str">
        <f>HYPERLINK("https://www.sandiegounified.org/schools/madison/welcome-68","McDonnell, Kevin ")</f>
        <v>McDonnell, Kevin </v>
      </c>
      <c r="C51" s="5" t="s">
        <v>79</v>
      </c>
      <c r="D51" s="6">
        <v>2104.0</v>
      </c>
      <c r="E51" s="7" t="s">
        <v>119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4" t="str">
        <f>HYPERLINK("https://www.sandiegounified.org/schools/madison/welcome-26","Metzger, Nicole")</f>
        <v>Metzger, Nicole</v>
      </c>
      <c r="C52" s="5" t="s">
        <v>16</v>
      </c>
      <c r="D52" s="6">
        <v>2212.0</v>
      </c>
      <c r="E52" s="7" t="s">
        <v>120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4" t="str">
        <f>HYPERLINK("https://www.sandiegounified.org/schools/madison/welcome-72","Mikamo, Courtney")</f>
        <v>Mikamo, Courtney</v>
      </c>
      <c r="C53" s="5" t="s">
        <v>46</v>
      </c>
      <c r="D53" s="6">
        <v>2402.0</v>
      </c>
      <c r="E53" s="7" t="s">
        <v>121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4" t="str">
        <f>HYPERLINK("https://www.sandiegounified.org/schools/madison/welcome-104","Negrete, Mark")</f>
        <v>Negrete, Mark</v>
      </c>
      <c r="C54" s="5" t="s">
        <v>28</v>
      </c>
      <c r="D54" s="6">
        <v>2405.0</v>
      </c>
      <c r="E54" s="7" t="s">
        <v>122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4" t="str">
        <f>HYPERLINK("https://www.sandiegounified.org/schools/madison/welcome-109","O'Neal, Christopher")</f>
        <v>O'Neal, Christopher</v>
      </c>
      <c r="C55" s="5" t="s">
        <v>123</v>
      </c>
      <c r="D55" s="6">
        <v>2602.0</v>
      </c>
      <c r="E55" s="7" t="s">
        <v>124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4" t="str">
        <f>HYPERLINK("https://www.sandiegounified.org/schools/madison/welcome-89","Oberle, Greg")</f>
        <v>Oberle, Greg</v>
      </c>
      <c r="C56" s="5" t="s">
        <v>125</v>
      </c>
      <c r="D56" s="6">
        <v>2905.0</v>
      </c>
      <c r="E56" s="7" t="s">
        <v>126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4" t="s">
        <v>127</v>
      </c>
      <c r="C57" s="5" t="s">
        <v>128</v>
      </c>
      <c r="D57" s="6">
        <v>3002.0</v>
      </c>
      <c r="E57" s="7" t="s">
        <v>129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4" t="s">
        <v>130</v>
      </c>
      <c r="C58" s="5" t="s">
        <v>131</v>
      </c>
      <c r="D58" s="6">
        <v>3042.0</v>
      </c>
      <c r="E58" s="7" t="s">
        <v>132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4" t="str">
        <f>HYPERLINK("https://www.sandiegounified.org/schools/madison/welcome-95","Quiroz, Peter")</f>
        <v>Quiroz, Peter</v>
      </c>
      <c r="C59" s="5" t="s">
        <v>81</v>
      </c>
      <c r="D59" s="6">
        <v>2102.0</v>
      </c>
      <c r="E59" s="7" t="s">
        <v>133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4" t="str">
        <f>HYPERLINK("https://www.sandiegounified.org/schools/madison/welcome-105","Rabinowitz-Hoy, Wendy")</f>
        <v>Rabinowitz-Hoy, Wendy</v>
      </c>
      <c r="C60" s="5" t="s">
        <v>28</v>
      </c>
      <c r="D60" s="15" t="s">
        <v>134</v>
      </c>
      <c r="E60" s="7" t="s">
        <v>135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0" t="s">
        <v>136</v>
      </c>
      <c r="C61" s="16" t="s">
        <v>16</v>
      </c>
      <c r="D61" s="6"/>
      <c r="E61" s="13" t="s">
        <v>137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4" t="str">
        <f>HYPERLINK("https://www.sandiegounified.org/schools/madison/welcome-80","Rogers, Marnie")</f>
        <v>Rogers, Marnie</v>
      </c>
      <c r="C62" s="5" t="s">
        <v>20</v>
      </c>
      <c r="D62" s="6">
        <v>2504.0</v>
      </c>
      <c r="E62" s="7" t="s">
        <v>138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4" t="str">
        <f>HYPERLINK("https://www.sandiegounified.org/schools/madison/welcome-85","Rucobo, Shawn")</f>
        <v>Rucobo, Shawn</v>
      </c>
      <c r="C63" s="5" t="s">
        <v>42</v>
      </c>
      <c r="D63" s="6">
        <v>2112.0</v>
      </c>
      <c r="E63" s="7" t="s">
        <v>139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4" t="s">
        <v>140</v>
      </c>
      <c r="C64" s="5" t="s">
        <v>141</v>
      </c>
      <c r="D64" s="6">
        <v>3049.0</v>
      </c>
      <c r="E64" s="7" t="s">
        <v>142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4" t="s">
        <v>143</v>
      </c>
      <c r="C65" s="5" t="s">
        <v>128</v>
      </c>
      <c r="D65" s="6">
        <v>3003.0</v>
      </c>
      <c r="E65" s="7" t="s">
        <v>144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4" t="str">
        <f>HYPERLINK("https://www.sandiegounified.org/schools/madison/welcome-107","Schulz, Nicholas")</f>
        <v>Schulz, Nicholas</v>
      </c>
      <c r="C66" s="5" t="s">
        <v>18</v>
      </c>
      <c r="D66" s="6">
        <v>2197.0</v>
      </c>
      <c r="E66" s="7" t="s">
        <v>145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4" t="s">
        <v>146</v>
      </c>
      <c r="C67" s="5" t="s">
        <v>147</v>
      </c>
      <c r="D67" s="6">
        <v>3010.0</v>
      </c>
      <c r="E67" s="7" t="s">
        <v>148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4" t="str">
        <f>HYPERLINK("https://www.sandiegounified.org/schools/madison/welcome-86","Sevilla, Omar")</f>
        <v>Sevilla, Omar</v>
      </c>
      <c r="C68" s="5" t="s">
        <v>149</v>
      </c>
      <c r="D68" s="6">
        <v>3071.0</v>
      </c>
      <c r="E68" s="7" t="s">
        <v>150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4" t="str">
        <f>HYPERLINK("https://www.sandiegounified.org/schools/madison/welcome-106","Silvels, Aneesah")</f>
        <v>Silvels, Aneesah</v>
      </c>
      <c r="C69" s="5" t="s">
        <v>28</v>
      </c>
      <c r="D69" s="6">
        <v>2012.0</v>
      </c>
      <c r="E69" s="7" t="s">
        <v>151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4" t="str">
        <f>HYPERLINK("https://www.sandiegounified.org/schools/madison/welcome-60","Siracusa, Brittani ")</f>
        <v>Siracusa, Brittani </v>
      </c>
      <c r="C70" s="5" t="s">
        <v>152</v>
      </c>
      <c r="D70" s="6">
        <v>2707.0</v>
      </c>
      <c r="E70" s="7" t="s">
        <v>153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4" t="str">
        <f>HYPERLINK("https://www.sandiegounified.org/schools/madison/welcome-83","Smith, Arinn")</f>
        <v>Smith, Arinn</v>
      </c>
      <c r="C71" s="5" t="s">
        <v>154</v>
      </c>
      <c r="D71" s="6">
        <v>2804.0</v>
      </c>
      <c r="E71" s="7" t="s">
        <v>155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4" t="s">
        <v>156</v>
      </c>
      <c r="C72" s="5" t="s">
        <v>157</v>
      </c>
      <c r="D72" s="6">
        <v>2008.0</v>
      </c>
      <c r="E72" s="7" t="s">
        <v>158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4" t="str">
        <f>HYPERLINK("https://www.sandiegounified.org/schools/madison/welcome-71","Sneddon, Tay")</f>
        <v>Sneddon, Tay</v>
      </c>
      <c r="C73" s="5" t="s">
        <v>79</v>
      </c>
      <c r="D73" s="6">
        <v>2810.0</v>
      </c>
      <c r="E73" s="7" t="s">
        <v>159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4" t="s">
        <v>160</v>
      </c>
      <c r="C74" s="5" t="s">
        <v>161</v>
      </c>
      <c r="D74" s="6">
        <v>3039.0</v>
      </c>
      <c r="E74" s="7" t="s">
        <v>162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4" t="str">
        <f>HYPERLINK("https://www.sandiegounified.org/schools/madison/welcome-66","Staninger, Thomas")</f>
        <v>Staninger, Thomas</v>
      </c>
      <c r="C75" s="5" t="s">
        <v>16</v>
      </c>
      <c r="D75" s="6">
        <v>2310.0</v>
      </c>
      <c r="E75" s="7" t="s">
        <v>163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4" t="str">
        <f>HYPERLINK("https://www.sandiegounified.org/schools/madison/welcome-93","Stout, Robert")</f>
        <v>Stout, Robert</v>
      </c>
      <c r="C76" s="5" t="s">
        <v>46</v>
      </c>
      <c r="D76" s="6">
        <v>2301.0</v>
      </c>
      <c r="E76" s="7" t="s">
        <v>164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4" t="str">
        <f>HYPERLINK("https://www.sandiegounified.org/schools/madison/welcome-74","Strukel, Jeffrey")</f>
        <v>Strukel, Jeffrey</v>
      </c>
      <c r="C77" s="5" t="s">
        <v>165</v>
      </c>
      <c r="D77" s="6">
        <v>2801.0</v>
      </c>
      <c r="E77" s="7" t="s">
        <v>166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4" t="str">
        <f>HYPERLINK("https://www.sandiegounified.org/schools/madison/welcome-94","Stutz, Mike")</f>
        <v>Stutz, Mike</v>
      </c>
      <c r="C78" s="5" t="s">
        <v>18</v>
      </c>
      <c r="D78" s="6">
        <v>2316.0</v>
      </c>
      <c r="E78" s="7" t="s">
        <v>167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4" t="s">
        <v>168</v>
      </c>
      <c r="C79" s="5" t="s">
        <v>169</v>
      </c>
      <c r="D79" s="6">
        <v>3021.0</v>
      </c>
      <c r="E79" s="7" t="s">
        <v>170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4" t="str">
        <f>HYPERLINK("https://www.sandiegounified.org/schools/madison/welcome-88","Tritchler, Mike")</f>
        <v>Tritchler, Mike</v>
      </c>
      <c r="C80" s="5" t="s">
        <v>171</v>
      </c>
      <c r="D80" s="6">
        <v>3083.0</v>
      </c>
      <c r="E80" s="7" t="s">
        <v>172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4" t="s">
        <v>173</v>
      </c>
      <c r="C81" s="5" t="s">
        <v>174</v>
      </c>
      <c r="D81" s="6">
        <v>3033.0</v>
      </c>
      <c r="E81" s="7" t="s">
        <v>175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4" t="s">
        <v>176</v>
      </c>
      <c r="C82" s="5" t="s">
        <v>177</v>
      </c>
      <c r="D82" s="6">
        <v>3010.0</v>
      </c>
      <c r="E82" s="7" t="s">
        <v>178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4" t="str">
        <f>HYPERLINK("https://www.sandiegounified.org/schools/madison/welcome-101","Wall, Greg ")</f>
        <v>Wall, Greg </v>
      </c>
      <c r="C83" s="5" t="s">
        <v>18</v>
      </c>
      <c r="D83" s="6">
        <v>2412.0</v>
      </c>
      <c r="E83" s="7" t="s">
        <v>179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1" t="s">
        <v>180</v>
      </c>
      <c r="C84" s="16" t="s">
        <v>79</v>
      </c>
      <c r="D84" s="6"/>
      <c r="E84" s="13" t="s">
        <v>181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4" t="s">
        <v>182</v>
      </c>
      <c r="C85" s="5" t="s">
        <v>183</v>
      </c>
      <c r="D85" s="6">
        <v>3032.0</v>
      </c>
      <c r="E85" s="7" t="s">
        <v>184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4" t="s">
        <v>185</v>
      </c>
      <c r="C86" s="5" t="s">
        <v>186</v>
      </c>
      <c r="D86" s="6">
        <v>2198.0</v>
      </c>
      <c r="E86" s="7" t="s">
        <v>187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4" t="str">
        <f>HYPERLINK("https://www.sandiegounified.org/schools/madison/welcome-67","Zoltan, Cindy")</f>
        <v>Zoltan, Cindy</v>
      </c>
      <c r="C87" s="5" t="s">
        <v>16</v>
      </c>
      <c r="D87" s="6">
        <v>2206.0</v>
      </c>
      <c r="E87" s="7" t="s">
        <v>188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hyperlinks>
    <hyperlink r:id="rId1" ref="E2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B16"/>
    <hyperlink r:id="rId19" ref="E16"/>
    <hyperlink r:id="rId20" ref="E17"/>
    <hyperlink r:id="rId21" ref="E18"/>
    <hyperlink r:id="rId22" ref="E19"/>
    <hyperlink r:id="rId23" ref="E20"/>
    <hyperlink r:id="rId24" ref="B21"/>
    <hyperlink r:id="rId25" ref="E21"/>
    <hyperlink r:id="rId26" ref="E22"/>
    <hyperlink r:id="rId27" ref="B23"/>
    <hyperlink r:id="rId28" ref="E23"/>
    <hyperlink r:id="rId29" ref="E24"/>
    <hyperlink r:id="rId30" ref="E25"/>
    <hyperlink r:id="rId31" ref="B26"/>
    <hyperlink r:id="rId32" ref="E26"/>
    <hyperlink r:id="rId33" ref="E27"/>
    <hyperlink r:id="rId34" ref="B28"/>
    <hyperlink r:id="rId35" ref="E28"/>
    <hyperlink r:id="rId36" ref="B29"/>
    <hyperlink r:id="rId37" ref="E29"/>
    <hyperlink r:id="rId38" ref="E30"/>
    <hyperlink r:id="rId39" ref="B31"/>
    <hyperlink r:id="rId40" ref="E31"/>
    <hyperlink r:id="rId41" ref="B32"/>
    <hyperlink r:id="rId42" ref="E32"/>
    <hyperlink r:id="rId43" ref="E33"/>
    <hyperlink r:id="rId44" ref="E34"/>
    <hyperlink r:id="rId45" ref="E35"/>
    <hyperlink r:id="rId46" ref="E36"/>
    <hyperlink r:id="rId47" ref="E37"/>
    <hyperlink r:id="rId48" ref="E38"/>
    <hyperlink r:id="rId49" ref="E39"/>
    <hyperlink r:id="rId50" ref="E40"/>
    <hyperlink r:id="rId51" ref="B41"/>
    <hyperlink r:id="rId52" ref="E41"/>
    <hyperlink r:id="rId53" ref="E42"/>
    <hyperlink r:id="rId54" ref="B43"/>
    <hyperlink r:id="rId55" ref="E43"/>
    <hyperlink r:id="rId56" ref="E44"/>
    <hyperlink r:id="rId57" ref="B45"/>
    <hyperlink r:id="rId58" ref="E45"/>
    <hyperlink r:id="rId59" ref="E46"/>
    <hyperlink r:id="rId60" ref="E47"/>
    <hyperlink r:id="rId61" ref="E48"/>
    <hyperlink r:id="rId62" ref="B49"/>
    <hyperlink r:id="rId63" ref="E49"/>
    <hyperlink r:id="rId64" ref="B50"/>
    <hyperlink r:id="rId65" ref="E50"/>
    <hyperlink r:id="rId66" ref="E51"/>
    <hyperlink r:id="rId67" ref="E52"/>
    <hyperlink r:id="rId68" ref="E53"/>
    <hyperlink r:id="rId69" ref="E54"/>
    <hyperlink r:id="rId70" ref="E55"/>
    <hyperlink r:id="rId71" ref="E56"/>
    <hyperlink r:id="rId72" ref="B57"/>
    <hyperlink r:id="rId73" ref="E57"/>
    <hyperlink r:id="rId74" ref="B58"/>
    <hyperlink r:id="rId75" ref="E58"/>
    <hyperlink r:id="rId76" ref="E59"/>
    <hyperlink r:id="rId77" ref="E60"/>
    <hyperlink r:id="rId78" ref="E61"/>
    <hyperlink r:id="rId79" ref="E62"/>
    <hyperlink r:id="rId80" ref="E63"/>
    <hyperlink r:id="rId81" ref="B64"/>
    <hyperlink r:id="rId82" ref="E64"/>
    <hyperlink r:id="rId83" ref="B65"/>
    <hyperlink r:id="rId84" ref="E65"/>
    <hyperlink r:id="rId85" ref="E66"/>
    <hyperlink r:id="rId86" ref="B67"/>
    <hyperlink r:id="rId87" ref="E67"/>
    <hyperlink r:id="rId88" ref="E68"/>
    <hyperlink r:id="rId89" ref="E69"/>
    <hyperlink r:id="rId90" ref="E70"/>
    <hyperlink r:id="rId91" ref="E71"/>
    <hyperlink r:id="rId92" ref="B72"/>
    <hyperlink r:id="rId93" ref="E72"/>
    <hyperlink r:id="rId94" ref="E73"/>
    <hyperlink r:id="rId95" ref="B74"/>
    <hyperlink r:id="rId96" ref="E74"/>
    <hyperlink r:id="rId97" ref="E75"/>
    <hyperlink r:id="rId98" ref="E76"/>
    <hyperlink r:id="rId99" ref="E77"/>
    <hyperlink r:id="rId100" ref="E78"/>
    <hyperlink r:id="rId101" ref="E79"/>
    <hyperlink r:id="rId102" ref="E80"/>
    <hyperlink r:id="rId103" ref="B81"/>
    <hyperlink r:id="rId104" ref="E81"/>
    <hyperlink r:id="rId105" ref="B82"/>
    <hyperlink r:id="rId106" ref="E82"/>
    <hyperlink r:id="rId107" ref="E83"/>
    <hyperlink r:id="rId108" ref="E84"/>
    <hyperlink r:id="rId109" ref="B85"/>
    <hyperlink r:id="rId110" ref="E85"/>
    <hyperlink r:id="rId111" ref="B86"/>
    <hyperlink r:id="rId112" ref="E86"/>
    <hyperlink r:id="rId113" ref="E87"/>
  </hyperlinks>
  <printOptions/>
  <pageMargins bottom="0.75" footer="0.0" header="0.0" left="0.25" right="0.25" top="0.75"/>
  <pageSetup fitToHeight="0" orientation="portrait"/>
  <headerFooter>
    <oddHeader>&amp;LPhone: (858) 536-0336&amp;CMadison High School Teacher Directory 2019-20</oddHeader>
    <oddFooter>&amp;LUpdated &amp;D</oddFooter>
  </headerFooter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20.29"/>
    <col customWidth="1" hidden="1" min="3" max="4" width="16.29"/>
    <col customWidth="1" min="5" max="5" width="16.29"/>
    <col customWidth="1" min="6" max="6" width="22.86"/>
    <col customWidth="1" min="7" max="7" width="27.29"/>
    <col customWidth="1" hidden="1" min="8" max="8" width="16.29"/>
    <col customWidth="1" min="9" max="26" width="16.29"/>
  </cols>
  <sheetData>
    <row r="1" ht="2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2" t="s">
        <v>189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3" t="s">
        <v>190</v>
      </c>
      <c r="C3" s="23" t="s">
        <v>1</v>
      </c>
      <c r="D3" s="23" t="s">
        <v>191</v>
      </c>
      <c r="E3" s="23" t="s">
        <v>2</v>
      </c>
      <c r="F3" s="23" t="s">
        <v>3</v>
      </c>
      <c r="G3" s="24" t="s">
        <v>192</v>
      </c>
      <c r="H3" s="2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6" t="s">
        <v>193</v>
      </c>
      <c r="C4" s="27" t="s">
        <v>4</v>
      </c>
      <c r="D4" s="27" t="s">
        <v>194</v>
      </c>
      <c r="E4" s="28">
        <v>3046.0</v>
      </c>
      <c r="F4" s="29" t="s">
        <v>195</v>
      </c>
      <c r="G4" s="27" t="s">
        <v>196</v>
      </c>
      <c r="H4" s="28">
        <v>110.0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30" t="s">
        <v>197</v>
      </c>
      <c r="C5" s="31" t="s">
        <v>16</v>
      </c>
      <c r="D5" s="31" t="s">
        <v>198</v>
      </c>
      <c r="E5" s="32">
        <v>2701.0</v>
      </c>
      <c r="F5" s="33" t="s">
        <v>199</v>
      </c>
      <c r="G5" s="34" t="s">
        <v>200</v>
      </c>
      <c r="H5" s="32">
        <v>1.0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30" t="s">
        <v>201</v>
      </c>
      <c r="C6" s="35" t="s">
        <v>18</v>
      </c>
      <c r="D6" s="35" t="s">
        <v>202</v>
      </c>
      <c r="E6" s="36">
        <v>2196.0</v>
      </c>
      <c r="F6" s="37" t="s">
        <v>203</v>
      </c>
      <c r="G6" s="36"/>
      <c r="H6" s="36">
        <v>99.0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1"/>
      <c r="B7" s="30" t="s">
        <v>204</v>
      </c>
      <c r="C7" s="31" t="s">
        <v>46</v>
      </c>
      <c r="D7" s="31" t="s">
        <v>205</v>
      </c>
      <c r="E7" s="32">
        <v>2317.0</v>
      </c>
      <c r="F7" s="33" t="s">
        <v>206</v>
      </c>
      <c r="G7" s="34" t="s">
        <v>207</v>
      </c>
      <c r="H7" s="32">
        <v>90.0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30" t="s">
        <v>208</v>
      </c>
      <c r="C8" s="35" t="s">
        <v>20</v>
      </c>
      <c r="D8" s="35" t="s">
        <v>209</v>
      </c>
      <c r="E8" s="36">
        <v>2207.0</v>
      </c>
      <c r="F8" s="37" t="s">
        <v>210</v>
      </c>
      <c r="G8" s="35" t="s">
        <v>211</v>
      </c>
      <c r="H8" s="36">
        <v>78.0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30" t="s">
        <v>212</v>
      </c>
      <c r="C9" s="31" t="s">
        <v>28</v>
      </c>
      <c r="D9" s="31" t="s">
        <v>213</v>
      </c>
      <c r="E9" s="38" t="s">
        <v>29</v>
      </c>
      <c r="F9" s="33" t="s">
        <v>214</v>
      </c>
      <c r="G9" s="34" t="s">
        <v>215</v>
      </c>
      <c r="H9" s="32">
        <v>103.0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0" t="s">
        <v>216</v>
      </c>
      <c r="C10" s="35" t="s">
        <v>34</v>
      </c>
      <c r="D10" s="35" t="s">
        <v>202</v>
      </c>
      <c r="E10" s="36">
        <v>2102.0</v>
      </c>
      <c r="F10" s="37" t="s">
        <v>217</v>
      </c>
      <c r="G10" s="36"/>
      <c r="H10" s="36">
        <v>97.0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8.25" customHeight="1">
      <c r="A11" s="1"/>
      <c r="B11" s="30" t="s">
        <v>218</v>
      </c>
      <c r="C11" s="31" t="s">
        <v>42</v>
      </c>
      <c r="D11" s="31" t="s">
        <v>219</v>
      </c>
      <c r="E11" s="32">
        <v>2108.0</v>
      </c>
      <c r="F11" s="33" t="s">
        <v>220</v>
      </c>
      <c r="G11" s="34" t="s">
        <v>221</v>
      </c>
      <c r="H11" s="32">
        <v>84.0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75" customHeight="1">
      <c r="A12" s="1"/>
      <c r="B12" s="30" t="s">
        <v>222</v>
      </c>
      <c r="C12" s="35" t="s">
        <v>44</v>
      </c>
      <c r="D12" s="35" t="s">
        <v>223</v>
      </c>
      <c r="E12" s="36">
        <v>2209.0</v>
      </c>
      <c r="F12" s="37" t="s">
        <v>224</v>
      </c>
      <c r="G12" s="39" t="s">
        <v>225</v>
      </c>
      <c r="H12" s="36">
        <v>69.0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0" t="s">
        <v>226</v>
      </c>
      <c r="C13" s="31" t="s">
        <v>46</v>
      </c>
      <c r="D13" s="31" t="s">
        <v>205</v>
      </c>
      <c r="E13" s="32">
        <v>2307.0</v>
      </c>
      <c r="F13" s="33" t="s">
        <v>227</v>
      </c>
      <c r="G13" s="31" t="s">
        <v>228</v>
      </c>
      <c r="H13" s="32">
        <v>91.0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30" t="s">
        <v>229</v>
      </c>
      <c r="C14" s="35" t="s">
        <v>230</v>
      </c>
      <c r="D14" s="35" t="s">
        <v>231</v>
      </c>
      <c r="E14" s="36">
        <v>2408.0</v>
      </c>
      <c r="F14" s="37" t="s">
        <v>232</v>
      </c>
      <c r="G14" s="39" t="s">
        <v>233</v>
      </c>
      <c r="H14" s="36">
        <v>75.0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30" t="s">
        <v>234</v>
      </c>
      <c r="C15" s="31" t="s">
        <v>235</v>
      </c>
      <c r="D15" s="31" t="s">
        <v>231</v>
      </c>
      <c r="E15" s="32">
        <v>2901.0</v>
      </c>
      <c r="F15" s="33" t="s">
        <v>236</v>
      </c>
      <c r="G15" s="34" t="s">
        <v>237</v>
      </c>
      <c r="H15" s="32">
        <v>87.0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0" t="s">
        <v>238</v>
      </c>
      <c r="C16" s="35" t="s">
        <v>18</v>
      </c>
      <c r="D16" s="35" t="s">
        <v>202</v>
      </c>
      <c r="E16" s="36">
        <v>2204.0</v>
      </c>
      <c r="F16" s="37" t="s">
        <v>239</v>
      </c>
      <c r="G16" s="36"/>
      <c r="H16" s="36">
        <v>98.0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30" t="s">
        <v>240</v>
      </c>
      <c r="C17" s="31" t="s">
        <v>16</v>
      </c>
      <c r="D17" s="31" t="s">
        <v>198</v>
      </c>
      <c r="E17" s="32">
        <v>2304.0</v>
      </c>
      <c r="F17" s="33" t="s">
        <v>241</v>
      </c>
      <c r="G17" s="34" t="s">
        <v>242</v>
      </c>
      <c r="H17" s="32">
        <v>6.0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8.25" customHeight="1">
      <c r="A18" s="1"/>
      <c r="B18" s="30" t="s">
        <v>243</v>
      </c>
      <c r="C18" s="35" t="s">
        <v>20</v>
      </c>
      <c r="D18" s="35" t="s">
        <v>209</v>
      </c>
      <c r="E18" s="36">
        <v>2203.0</v>
      </c>
      <c r="F18" s="37" t="s">
        <v>244</v>
      </c>
      <c r="G18" s="39" t="s">
        <v>245</v>
      </c>
      <c r="H18" s="36">
        <v>82.0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8.25" customHeight="1">
      <c r="A19" s="1"/>
      <c r="B19" s="30" t="s">
        <v>246</v>
      </c>
      <c r="C19" s="31" t="s">
        <v>63</v>
      </c>
      <c r="D19" s="31" t="s">
        <v>198</v>
      </c>
      <c r="E19" s="32">
        <v>2210.0</v>
      </c>
      <c r="F19" s="33" t="s">
        <v>247</v>
      </c>
      <c r="G19" s="34" t="s">
        <v>248</v>
      </c>
      <c r="H19" s="32">
        <v>27.0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8.25" customHeight="1">
      <c r="A20" s="1"/>
      <c r="B20" s="30" t="s">
        <v>249</v>
      </c>
      <c r="C20" s="35" t="s">
        <v>28</v>
      </c>
      <c r="D20" s="35" t="s">
        <v>213</v>
      </c>
      <c r="E20" s="36">
        <v>2098.0</v>
      </c>
      <c r="F20" s="37" t="s">
        <v>250</v>
      </c>
      <c r="G20" s="39" t="s">
        <v>251</v>
      </c>
      <c r="H20" s="36">
        <v>102.0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30" t="s">
        <v>252</v>
      </c>
      <c r="C21" s="31" t="s">
        <v>20</v>
      </c>
      <c r="D21" s="31" t="s">
        <v>209</v>
      </c>
      <c r="E21" s="32">
        <v>2501.0</v>
      </c>
      <c r="F21" s="33" t="s">
        <v>253</v>
      </c>
      <c r="G21" s="34" t="s">
        <v>254</v>
      </c>
      <c r="H21" s="32">
        <v>79.0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8.25" customHeight="1">
      <c r="A22" s="1"/>
      <c r="B22" s="30" t="s">
        <v>255</v>
      </c>
      <c r="C22" s="35" t="s">
        <v>79</v>
      </c>
      <c r="D22" s="35" t="s">
        <v>223</v>
      </c>
      <c r="E22" s="36">
        <v>2806.0</v>
      </c>
      <c r="F22" s="37" t="s">
        <v>256</v>
      </c>
      <c r="G22" s="39" t="s">
        <v>257</v>
      </c>
      <c r="H22" s="36">
        <v>70.0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0" t="s">
        <v>258</v>
      </c>
      <c r="C23" s="31" t="s">
        <v>81</v>
      </c>
      <c r="D23" s="31" t="s">
        <v>202</v>
      </c>
      <c r="E23" s="32">
        <v>2195.0</v>
      </c>
      <c r="F23" s="33" t="s">
        <v>259</v>
      </c>
      <c r="G23" s="31" t="s">
        <v>260</v>
      </c>
      <c r="H23" s="32">
        <v>100.0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30" t="s">
        <v>261</v>
      </c>
      <c r="C24" s="35" t="s">
        <v>83</v>
      </c>
      <c r="D24" s="35" t="s">
        <v>209</v>
      </c>
      <c r="E24" s="36">
        <v>3041.0</v>
      </c>
      <c r="F24" s="37" t="s">
        <v>262</v>
      </c>
      <c r="G24" s="39" t="s">
        <v>263</v>
      </c>
      <c r="H24" s="36">
        <v>77.0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8.25" customHeight="1">
      <c r="A25" s="1"/>
      <c r="B25" s="30" t="s">
        <v>264</v>
      </c>
      <c r="C25" s="31" t="s">
        <v>16</v>
      </c>
      <c r="D25" s="31" t="s">
        <v>198</v>
      </c>
      <c r="E25" s="32">
        <v>2201.0</v>
      </c>
      <c r="F25" s="33" t="s">
        <v>265</v>
      </c>
      <c r="G25" s="34" t="s">
        <v>266</v>
      </c>
      <c r="H25" s="32">
        <v>11.0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0" t="s">
        <v>267</v>
      </c>
      <c r="C26" s="35" t="s">
        <v>46</v>
      </c>
      <c r="D26" s="35" t="s">
        <v>205</v>
      </c>
      <c r="E26" s="36">
        <v>2311.0</v>
      </c>
      <c r="F26" s="37" t="s">
        <v>268</v>
      </c>
      <c r="G26" s="35" t="s">
        <v>269</v>
      </c>
      <c r="H26" s="36">
        <v>92.0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0" t="s">
        <v>270</v>
      </c>
      <c r="C27" s="31" t="s">
        <v>103</v>
      </c>
      <c r="D27" s="31" t="s">
        <v>194</v>
      </c>
      <c r="E27" s="32">
        <v>3048.0</v>
      </c>
      <c r="F27" s="33" t="s">
        <v>271</v>
      </c>
      <c r="G27" s="31" t="s">
        <v>272</v>
      </c>
      <c r="H27" s="32">
        <v>108.0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0" t="s">
        <v>273</v>
      </c>
      <c r="C28" s="35" t="s">
        <v>20</v>
      </c>
      <c r="D28" s="35" t="s">
        <v>209</v>
      </c>
      <c r="E28" s="36">
        <v>3082.0</v>
      </c>
      <c r="F28" s="37" t="s">
        <v>274</v>
      </c>
      <c r="G28" s="39" t="s">
        <v>275</v>
      </c>
      <c r="H28" s="36">
        <v>81.0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8.25" customHeight="1">
      <c r="A29" s="1"/>
      <c r="B29" s="30" t="s">
        <v>276</v>
      </c>
      <c r="C29" s="31" t="s">
        <v>109</v>
      </c>
      <c r="D29" s="31" t="s">
        <v>231</v>
      </c>
      <c r="E29" s="32">
        <v>2900.0</v>
      </c>
      <c r="F29" s="33" t="s">
        <v>277</v>
      </c>
      <c r="G29" s="34" t="s">
        <v>278</v>
      </c>
      <c r="H29" s="32">
        <v>76.0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8.25" customHeight="1">
      <c r="A30" s="1"/>
      <c r="B30" s="30" t="s">
        <v>279</v>
      </c>
      <c r="C30" s="35" t="s">
        <v>18</v>
      </c>
      <c r="D30" s="35" t="s">
        <v>202</v>
      </c>
      <c r="E30" s="36">
        <v>2306.0</v>
      </c>
      <c r="F30" s="37" t="s">
        <v>280</v>
      </c>
      <c r="G30" s="39" t="s">
        <v>281</v>
      </c>
      <c r="H30" s="36">
        <v>96.0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41" t="s">
        <v>282</v>
      </c>
      <c r="C31" s="31" t="s">
        <v>116</v>
      </c>
      <c r="D31" s="31" t="s">
        <v>202</v>
      </c>
      <c r="E31" s="38" t="s">
        <v>283</v>
      </c>
      <c r="F31" s="33" t="s">
        <v>284</v>
      </c>
      <c r="G31" s="31" t="s">
        <v>285</v>
      </c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30" t="s">
        <v>286</v>
      </c>
      <c r="C32" s="35" t="s">
        <v>79</v>
      </c>
      <c r="D32" s="35" t="s">
        <v>223</v>
      </c>
      <c r="E32" s="36">
        <v>2104.0</v>
      </c>
      <c r="F32" s="37" t="s">
        <v>287</v>
      </c>
      <c r="G32" s="39" t="s">
        <v>288</v>
      </c>
      <c r="H32" s="36">
        <v>68.0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30" t="s">
        <v>289</v>
      </c>
      <c r="C33" s="31" t="s">
        <v>16</v>
      </c>
      <c r="D33" s="31" t="s">
        <v>198</v>
      </c>
      <c r="E33" s="32">
        <v>2212.0</v>
      </c>
      <c r="F33" s="33" t="s">
        <v>290</v>
      </c>
      <c r="G33" s="34" t="s">
        <v>291</v>
      </c>
      <c r="H33" s="32">
        <v>26.0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8.25" customHeight="1">
      <c r="A34" s="1"/>
      <c r="B34" s="30" t="s">
        <v>292</v>
      </c>
      <c r="C34" s="35" t="s">
        <v>46</v>
      </c>
      <c r="D34" s="35" t="s">
        <v>205</v>
      </c>
      <c r="E34" s="36">
        <v>2402.0</v>
      </c>
      <c r="F34" s="37" t="s">
        <v>293</v>
      </c>
      <c r="G34" s="39" t="s">
        <v>294</v>
      </c>
      <c r="H34" s="36">
        <v>72.0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30" t="s">
        <v>295</v>
      </c>
      <c r="C35" s="31" t="s">
        <v>28</v>
      </c>
      <c r="D35" s="31" t="s">
        <v>213</v>
      </c>
      <c r="E35" s="32">
        <v>2405.0</v>
      </c>
      <c r="F35" s="33" t="s">
        <v>296</v>
      </c>
      <c r="G35" s="31" t="s">
        <v>297</v>
      </c>
      <c r="H35" s="32">
        <v>104.0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0" t="s">
        <v>298</v>
      </c>
      <c r="C36" s="35" t="s">
        <v>123</v>
      </c>
      <c r="D36" s="35" t="s">
        <v>194</v>
      </c>
      <c r="E36" s="36">
        <v>2602.0</v>
      </c>
      <c r="F36" s="37" t="s">
        <v>299</v>
      </c>
      <c r="G36" s="35" t="s">
        <v>272</v>
      </c>
      <c r="H36" s="36">
        <v>109.0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30" t="s">
        <v>300</v>
      </c>
      <c r="C37" s="31" t="s">
        <v>125</v>
      </c>
      <c r="D37" s="31" t="s">
        <v>231</v>
      </c>
      <c r="E37" s="32">
        <v>2905.0</v>
      </c>
      <c r="F37" s="33" t="s">
        <v>301</v>
      </c>
      <c r="G37" s="34" t="s">
        <v>302</v>
      </c>
      <c r="H37" s="32">
        <v>89.0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30" t="s">
        <v>303</v>
      </c>
      <c r="C38" s="35" t="s">
        <v>4</v>
      </c>
      <c r="D38" s="35" t="s">
        <v>194</v>
      </c>
      <c r="E38" s="36">
        <v>3047.0</v>
      </c>
      <c r="F38" s="37" t="s">
        <v>304</v>
      </c>
      <c r="G38" s="35" t="s">
        <v>196</v>
      </c>
      <c r="H38" s="36">
        <v>111.0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30" t="s">
        <v>305</v>
      </c>
      <c r="C39" s="31" t="s">
        <v>81</v>
      </c>
      <c r="D39" s="31" t="s">
        <v>202</v>
      </c>
      <c r="E39" s="32">
        <v>2102.0</v>
      </c>
      <c r="F39" s="33" t="s">
        <v>306</v>
      </c>
      <c r="G39" s="34" t="s">
        <v>307</v>
      </c>
      <c r="H39" s="32">
        <v>95.0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30" t="s">
        <v>308</v>
      </c>
      <c r="C40" s="35" t="s">
        <v>28</v>
      </c>
      <c r="D40" s="35" t="s">
        <v>213</v>
      </c>
      <c r="E40" s="42" t="s">
        <v>134</v>
      </c>
      <c r="F40" s="37" t="s">
        <v>309</v>
      </c>
      <c r="G40" s="39" t="s">
        <v>310</v>
      </c>
      <c r="H40" s="36">
        <v>105.0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30" t="s">
        <v>311</v>
      </c>
      <c r="C41" s="31" t="s">
        <v>20</v>
      </c>
      <c r="D41" s="31" t="s">
        <v>209</v>
      </c>
      <c r="E41" s="32">
        <v>2504.0</v>
      </c>
      <c r="F41" s="33" t="s">
        <v>312</v>
      </c>
      <c r="G41" s="34" t="s">
        <v>313</v>
      </c>
      <c r="H41" s="32">
        <v>80.0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30" t="s">
        <v>314</v>
      </c>
      <c r="C42" s="35" t="s">
        <v>42</v>
      </c>
      <c r="D42" s="35" t="s">
        <v>219</v>
      </c>
      <c r="E42" s="36">
        <v>2112.0</v>
      </c>
      <c r="F42" s="37" t="s">
        <v>315</v>
      </c>
      <c r="G42" s="39" t="s">
        <v>316</v>
      </c>
      <c r="H42" s="36">
        <v>85.0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30" t="s">
        <v>317</v>
      </c>
      <c r="C43" s="31" t="s">
        <v>18</v>
      </c>
      <c r="D43" s="31" t="s">
        <v>202</v>
      </c>
      <c r="E43" s="32">
        <v>2197.0</v>
      </c>
      <c r="F43" s="33" t="s">
        <v>318</v>
      </c>
      <c r="G43" s="31" t="s">
        <v>319</v>
      </c>
      <c r="H43" s="32">
        <v>107.0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30" t="s">
        <v>320</v>
      </c>
      <c r="C44" s="35" t="s">
        <v>149</v>
      </c>
      <c r="D44" s="35" t="s">
        <v>231</v>
      </c>
      <c r="E44" s="36">
        <v>3071.0</v>
      </c>
      <c r="F44" s="37" t="s">
        <v>321</v>
      </c>
      <c r="G44" s="35" t="s">
        <v>322</v>
      </c>
      <c r="H44" s="36">
        <v>86.0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30" t="s">
        <v>323</v>
      </c>
      <c r="C45" s="31" t="s">
        <v>28</v>
      </c>
      <c r="D45" s="31" t="s">
        <v>213</v>
      </c>
      <c r="E45" s="32">
        <v>2012.0</v>
      </c>
      <c r="F45" s="33" t="s">
        <v>324</v>
      </c>
      <c r="G45" s="34" t="s">
        <v>325</v>
      </c>
      <c r="H45" s="32">
        <v>106.0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30" t="s">
        <v>326</v>
      </c>
      <c r="C46" s="35" t="s">
        <v>152</v>
      </c>
      <c r="D46" s="35" t="s">
        <v>198</v>
      </c>
      <c r="E46" s="36">
        <v>2707.0</v>
      </c>
      <c r="F46" s="37" t="s">
        <v>327</v>
      </c>
      <c r="G46" s="35" t="s">
        <v>328</v>
      </c>
      <c r="H46" s="36">
        <v>60.0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30" t="s">
        <v>329</v>
      </c>
      <c r="C47" s="31" t="s">
        <v>154</v>
      </c>
      <c r="D47" s="31" t="s">
        <v>219</v>
      </c>
      <c r="E47" s="32">
        <v>2804.0</v>
      </c>
      <c r="F47" s="33" t="s">
        <v>330</v>
      </c>
      <c r="G47" s="31" t="s">
        <v>331</v>
      </c>
      <c r="H47" s="32">
        <v>83.0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30" t="s">
        <v>332</v>
      </c>
      <c r="C48" s="35" t="s">
        <v>79</v>
      </c>
      <c r="D48" s="35" t="s">
        <v>223</v>
      </c>
      <c r="E48" s="36">
        <v>2810.0</v>
      </c>
      <c r="F48" s="37" t="s">
        <v>333</v>
      </c>
      <c r="G48" s="39" t="s">
        <v>334</v>
      </c>
      <c r="H48" s="36">
        <v>71.0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30" t="s">
        <v>335</v>
      </c>
      <c r="C49" s="31" t="s">
        <v>16</v>
      </c>
      <c r="D49" s="31" t="s">
        <v>198</v>
      </c>
      <c r="E49" s="32">
        <v>2310.0</v>
      </c>
      <c r="F49" s="33" t="s">
        <v>336</v>
      </c>
      <c r="G49" s="34" t="s">
        <v>337</v>
      </c>
      <c r="H49" s="32">
        <v>66.0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30" t="s">
        <v>338</v>
      </c>
      <c r="C50" s="35" t="s">
        <v>46</v>
      </c>
      <c r="D50" s="35" t="s">
        <v>205</v>
      </c>
      <c r="E50" s="36">
        <v>2301.0</v>
      </c>
      <c r="F50" s="37" t="s">
        <v>339</v>
      </c>
      <c r="G50" s="39" t="s">
        <v>340</v>
      </c>
      <c r="H50" s="36">
        <v>93.0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30" t="s">
        <v>341</v>
      </c>
      <c r="C51" s="31" t="s">
        <v>165</v>
      </c>
      <c r="D51" s="31" t="s">
        <v>231</v>
      </c>
      <c r="E51" s="32">
        <v>2801.0</v>
      </c>
      <c r="F51" s="33" t="s">
        <v>342</v>
      </c>
      <c r="G51" s="34" t="s">
        <v>343</v>
      </c>
      <c r="H51" s="32">
        <v>74.0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30" t="s">
        <v>344</v>
      </c>
      <c r="C52" s="35" t="s">
        <v>18</v>
      </c>
      <c r="D52" s="35" t="s">
        <v>202</v>
      </c>
      <c r="E52" s="36">
        <v>2316.0</v>
      </c>
      <c r="F52" s="37" t="s">
        <v>345</v>
      </c>
      <c r="G52" s="35" t="s">
        <v>319</v>
      </c>
      <c r="H52" s="36">
        <v>94.0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30" t="s">
        <v>346</v>
      </c>
      <c r="C53" s="31" t="s">
        <v>171</v>
      </c>
      <c r="D53" s="31" t="s">
        <v>231</v>
      </c>
      <c r="E53" s="32">
        <v>3083.0</v>
      </c>
      <c r="F53" s="33" t="s">
        <v>347</v>
      </c>
      <c r="G53" s="34" t="s">
        <v>348</v>
      </c>
      <c r="H53" s="32">
        <v>88.0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8.25" customHeight="1">
      <c r="A54" s="1"/>
      <c r="B54" s="30" t="s">
        <v>349</v>
      </c>
      <c r="C54" s="35" t="s">
        <v>46</v>
      </c>
      <c r="D54" s="35" t="s">
        <v>205</v>
      </c>
      <c r="E54" s="36">
        <v>2313.0</v>
      </c>
      <c r="F54" s="37" t="s">
        <v>350</v>
      </c>
      <c r="G54" s="39" t="s">
        <v>351</v>
      </c>
      <c r="H54" s="36">
        <v>73.0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4.5" customHeight="1">
      <c r="A55" s="1"/>
      <c r="B55" s="30" t="s">
        <v>352</v>
      </c>
      <c r="C55" s="31" t="s">
        <v>18</v>
      </c>
      <c r="D55" s="31" t="s">
        <v>202</v>
      </c>
      <c r="E55" s="32">
        <v>2412.0</v>
      </c>
      <c r="F55" s="33" t="s">
        <v>353</v>
      </c>
      <c r="G55" s="34" t="s">
        <v>354</v>
      </c>
      <c r="H55" s="32">
        <v>101.0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8.25" customHeight="1">
      <c r="A56" s="1"/>
      <c r="B56" s="30" t="s">
        <v>355</v>
      </c>
      <c r="C56" s="35" t="s">
        <v>16</v>
      </c>
      <c r="D56" s="35" t="s">
        <v>198</v>
      </c>
      <c r="E56" s="36">
        <v>2206.0</v>
      </c>
      <c r="F56" s="37" t="s">
        <v>356</v>
      </c>
      <c r="G56" s="39" t="s">
        <v>357</v>
      </c>
      <c r="H56" s="36">
        <v>67.0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H2"/>
  </mergeCells>
  <hyperlinks>
    <hyperlink r:id="rId1" ref="B4"/>
    <hyperlink r:id="rId2" ref="F4"/>
    <hyperlink r:id="rId3" ref="B5"/>
    <hyperlink r:id="rId4" ref="F5"/>
    <hyperlink r:id="rId5" ref="B6"/>
    <hyperlink r:id="rId6" ref="F6"/>
    <hyperlink r:id="rId7" ref="B7"/>
    <hyperlink r:id="rId8" ref="F7"/>
    <hyperlink r:id="rId9" ref="B8"/>
    <hyperlink r:id="rId10" ref="F8"/>
    <hyperlink r:id="rId11" ref="B9"/>
    <hyperlink r:id="rId12" ref="F9"/>
    <hyperlink r:id="rId13" ref="B10"/>
    <hyperlink r:id="rId14" ref="F10"/>
    <hyperlink r:id="rId15" ref="B11"/>
    <hyperlink r:id="rId16" ref="F11"/>
    <hyperlink r:id="rId17" ref="B12"/>
    <hyperlink r:id="rId18" ref="F12"/>
    <hyperlink r:id="rId19" ref="B13"/>
    <hyperlink r:id="rId20" ref="F13"/>
    <hyperlink r:id="rId21" ref="B14"/>
    <hyperlink r:id="rId22" ref="F14"/>
    <hyperlink r:id="rId23" ref="B15"/>
    <hyperlink r:id="rId24" ref="F15"/>
    <hyperlink r:id="rId25" ref="B16"/>
    <hyperlink r:id="rId26" ref="F16"/>
    <hyperlink r:id="rId27" ref="B17"/>
    <hyperlink r:id="rId28" ref="F17"/>
    <hyperlink r:id="rId29" ref="B18"/>
    <hyperlink r:id="rId30" ref="F18"/>
    <hyperlink r:id="rId31" ref="B19"/>
    <hyperlink r:id="rId32" ref="F19"/>
    <hyperlink r:id="rId33" ref="B20"/>
    <hyperlink r:id="rId34" ref="F20"/>
    <hyperlink r:id="rId35" ref="B21"/>
    <hyperlink r:id="rId36" ref="F21"/>
    <hyperlink r:id="rId37" ref="B22"/>
    <hyperlink r:id="rId38" ref="F22"/>
    <hyperlink r:id="rId39" ref="B23"/>
    <hyperlink r:id="rId40" ref="F23"/>
    <hyperlink r:id="rId41" ref="B24"/>
    <hyperlink r:id="rId42" ref="F24"/>
    <hyperlink r:id="rId43" ref="B25"/>
    <hyperlink r:id="rId44" ref="F25"/>
    <hyperlink r:id="rId45" ref="B26"/>
    <hyperlink r:id="rId46" ref="F26"/>
    <hyperlink r:id="rId47" ref="B27"/>
    <hyperlink r:id="rId48" ref="F27"/>
    <hyperlink r:id="rId49" ref="B28"/>
    <hyperlink r:id="rId50" ref="F28"/>
    <hyperlink r:id="rId51" ref="B29"/>
    <hyperlink r:id="rId52" ref="F29"/>
    <hyperlink r:id="rId53" ref="B30"/>
    <hyperlink r:id="rId54" ref="F30"/>
    <hyperlink r:id="rId55" ref="F31"/>
    <hyperlink r:id="rId56" ref="B32"/>
    <hyperlink r:id="rId57" ref="F32"/>
    <hyperlink r:id="rId58" ref="B33"/>
    <hyperlink r:id="rId59" ref="F33"/>
    <hyperlink r:id="rId60" ref="B34"/>
    <hyperlink r:id="rId61" ref="F34"/>
    <hyperlink r:id="rId62" ref="B35"/>
    <hyperlink r:id="rId63" ref="F35"/>
    <hyperlink r:id="rId64" ref="B36"/>
    <hyperlink r:id="rId65" ref="F36"/>
    <hyperlink r:id="rId66" ref="B37"/>
    <hyperlink r:id="rId67" ref="F37"/>
    <hyperlink r:id="rId68" ref="B38"/>
    <hyperlink r:id="rId69" ref="F38"/>
    <hyperlink r:id="rId70" ref="B39"/>
    <hyperlink r:id="rId71" ref="F39"/>
    <hyperlink r:id="rId72" ref="B40"/>
    <hyperlink r:id="rId73" ref="F40"/>
    <hyperlink r:id="rId74" ref="B41"/>
    <hyperlink r:id="rId75" ref="F41"/>
    <hyperlink r:id="rId76" ref="B42"/>
    <hyperlink r:id="rId77" ref="F42"/>
    <hyperlink r:id="rId78" ref="B43"/>
    <hyperlink r:id="rId79" ref="F43"/>
    <hyperlink r:id="rId80" ref="B44"/>
    <hyperlink r:id="rId81" ref="F44"/>
    <hyperlink r:id="rId82" ref="B45"/>
    <hyperlink r:id="rId83" ref="F45"/>
    <hyperlink r:id="rId84" ref="B46"/>
    <hyperlink r:id="rId85" ref="F46"/>
    <hyperlink r:id="rId86" ref="B47"/>
    <hyperlink r:id="rId87" ref="F47"/>
    <hyperlink r:id="rId88" ref="B48"/>
    <hyperlink r:id="rId89" ref="F48"/>
    <hyperlink r:id="rId90" ref="B49"/>
    <hyperlink r:id="rId91" ref="F49"/>
    <hyperlink r:id="rId92" ref="B50"/>
    <hyperlink r:id="rId93" ref="F50"/>
    <hyperlink r:id="rId94" ref="B51"/>
    <hyperlink r:id="rId95" ref="F51"/>
    <hyperlink r:id="rId96" ref="B52"/>
    <hyperlink r:id="rId97" ref="F52"/>
    <hyperlink r:id="rId98" ref="B53"/>
    <hyperlink r:id="rId99" ref="F53"/>
    <hyperlink r:id="rId100" ref="B54"/>
    <hyperlink r:id="rId101" ref="F54"/>
    <hyperlink r:id="rId102" ref="B55"/>
    <hyperlink r:id="rId103" ref="F55"/>
    <hyperlink r:id="rId104" ref="B56"/>
    <hyperlink r:id="rId105" ref="F56"/>
  </hyperlinks>
  <printOptions/>
  <pageMargins bottom="0.138889" footer="0.0" header="0.0" left="0.138889" right="0.138889" top="0.138889"/>
  <pageSetup scale="75" orientation="portrait"/>
  <headerFooter>
    <oddFooter>&amp;C000000&amp;P</oddFooter>
  </headerFooter>
  <drawing r:id="rId10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